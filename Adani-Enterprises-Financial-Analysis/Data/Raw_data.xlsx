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BEA8046-A38D-4351-B030-C6BAB0497C27}" xr6:coauthVersionLast="47" xr6:coauthVersionMax="47" xr10:uidLastSave="{00000000-0000-0000-0000-000000000000}"/>
  <bookViews>
    <workbookView xWindow="-108" yWindow="-108" windowWidth="23256" windowHeight="13896" firstSheet="2" activeTab="7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  <sheet name="Shareholding Pattern" sheetId="8" r:id="rId7"/>
    <sheet name="Peer comparison" sheetId="10" r:id="rId8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D4" i="3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D15" i="1"/>
  <c r="E15" i="1"/>
  <c r="F15" i="1"/>
  <c r="G15" i="1"/>
  <c r="H15" i="1"/>
  <c r="I15" i="1"/>
  <c r="J15" i="1"/>
  <c r="K15" i="1"/>
  <c r="B15" i="1"/>
  <c r="B7" i="1"/>
  <c r="B4" i="1"/>
  <c r="A1" i="1"/>
  <c r="E1" i="6"/>
  <c r="H1" i="1" s="1"/>
  <c r="E1" i="2"/>
  <c r="E1" i="3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B18" i="2"/>
  <c r="B21" i="2"/>
  <c r="B13" i="2"/>
  <c r="B12" i="2"/>
  <c r="B11" i="2"/>
  <c r="B10" i="2"/>
  <c r="B8" i="2"/>
  <c r="B7" i="2"/>
  <c r="B6" i="2"/>
  <c r="B3" i="2"/>
  <c r="B12" i="3"/>
  <c r="B11" i="3"/>
  <c r="B10" i="3"/>
  <c r="B9" i="3"/>
  <c r="B8" i="3"/>
  <c r="B7" i="3"/>
  <c r="B4" i="3"/>
  <c r="B3" i="3"/>
  <c r="L15" i="1"/>
  <c r="B12" i="1"/>
  <c r="B11" i="1"/>
  <c r="B10" i="1"/>
  <c r="B9" i="1"/>
  <c r="B8" i="1"/>
  <c r="B3" i="1"/>
  <c r="L6" i="1"/>
  <c r="A1" i="3"/>
  <c r="A1" i="2"/>
  <c r="A1" i="4"/>
  <c r="B14" i="1" l="1"/>
  <c r="H13" i="1"/>
  <c r="H14" i="1" s="1"/>
  <c r="I13" i="1"/>
  <c r="I14" i="1" s="1"/>
  <c r="B20" i="2"/>
  <c r="H16" i="2"/>
  <c r="D16" i="2"/>
  <c r="K23" i="2"/>
  <c r="F23" i="2"/>
  <c r="C23" i="2"/>
  <c r="K16" i="2"/>
  <c r="C16" i="2"/>
  <c r="G23" i="2"/>
  <c r="F16" i="2"/>
  <c r="B23" i="2"/>
  <c r="E6" i="1"/>
  <c r="E19" i="1" s="1"/>
  <c r="H23" i="2"/>
  <c r="D23" i="2"/>
  <c r="I6" i="1"/>
  <c r="I19" i="1" s="1"/>
  <c r="J6" i="1"/>
  <c r="J19" i="1" s="1"/>
  <c r="K6" i="1"/>
  <c r="K19" i="1" s="1"/>
  <c r="G6" i="1"/>
  <c r="G19" i="1" s="1"/>
  <c r="C6" i="1"/>
  <c r="C19" i="1" s="1"/>
  <c r="D6" i="1"/>
  <c r="D19" i="1" s="1"/>
  <c r="B6" i="1"/>
  <c r="B19" i="1" s="1"/>
  <c r="K21" i="2"/>
  <c r="J21" i="2"/>
  <c r="I21" i="2"/>
  <c r="H21" i="2"/>
  <c r="G21" i="2"/>
  <c r="F21" i="2"/>
  <c r="E21" i="2"/>
  <c r="D21" i="2"/>
  <c r="C21" i="2"/>
  <c r="B16" i="2"/>
  <c r="J14" i="3"/>
  <c r="H14" i="3"/>
  <c r="F14" i="3"/>
  <c r="B14" i="3"/>
  <c r="E14" i="3"/>
  <c r="I14" i="3"/>
  <c r="G14" i="3"/>
  <c r="G20" i="2"/>
  <c r="K20" i="2"/>
  <c r="D20" i="2"/>
  <c r="J20" i="2"/>
  <c r="C20" i="2"/>
  <c r="E20" i="2"/>
  <c r="L12" i="1"/>
  <c r="L11" i="1"/>
  <c r="L10" i="1"/>
  <c r="L4" i="1"/>
  <c r="L19" i="1" s="1"/>
  <c r="L24" i="1" s="1"/>
  <c r="H24" i="1"/>
  <c r="H23" i="1"/>
  <c r="I23" i="1"/>
  <c r="J23" i="1"/>
  <c r="L5" i="1"/>
  <c r="D13" i="1"/>
  <c r="C13" i="1"/>
  <c r="C14" i="1" s="1"/>
  <c r="F13" i="1"/>
  <c r="F14" i="1" s="1"/>
  <c r="G13" i="1"/>
  <c r="G14" i="1" s="1"/>
  <c r="J13" i="1"/>
  <c r="J14" i="1" s="1"/>
  <c r="D24" i="2"/>
  <c r="F24" i="2"/>
  <c r="E23" i="2"/>
  <c r="I24" i="2"/>
  <c r="K24" i="2"/>
  <c r="J23" i="2"/>
  <c r="I16" i="2"/>
  <c r="D14" i="3"/>
  <c r="K13" i="1"/>
  <c r="K14" i="1" s="1"/>
  <c r="E24" i="2"/>
  <c r="G24" i="2"/>
  <c r="H24" i="2"/>
  <c r="J24" i="2"/>
  <c r="I23" i="2"/>
  <c r="G16" i="2"/>
  <c r="C24" i="2"/>
  <c r="C14" i="3"/>
  <c r="M9" i="1"/>
  <c r="N9" i="1"/>
  <c r="N8" i="1"/>
  <c r="M8" i="1"/>
  <c r="I20" i="2"/>
  <c r="H20" i="2"/>
  <c r="K23" i="1"/>
  <c r="H6" i="1"/>
  <c r="H19" i="1" s="1"/>
  <c r="F6" i="1"/>
  <c r="F19" i="1" s="1"/>
  <c r="E1" i="4"/>
  <c r="M11" i="1" l="1"/>
  <c r="N11" i="1"/>
  <c r="D14" i="1"/>
  <c r="E13" i="1"/>
  <c r="E14" i="1" s="1"/>
  <c r="I24" i="1"/>
  <c r="K24" i="1"/>
  <c r="M24" i="1" s="1"/>
  <c r="J24" i="1"/>
  <c r="N24" i="1" s="1"/>
  <c r="L13" i="1"/>
  <c r="L14" i="1" s="1"/>
  <c r="L23" i="1"/>
  <c r="M23" i="1" s="1"/>
  <c r="M4" i="1" s="1"/>
  <c r="J25" i="1" l="1"/>
  <c r="K25" i="1"/>
  <c r="L25" i="1"/>
  <c r="M6" i="1"/>
  <c r="M10" i="1" s="1"/>
  <c r="M12" i="1" s="1"/>
  <c r="M13" i="1" s="1"/>
  <c r="I25" i="1"/>
  <c r="N23" i="1"/>
  <c r="N4" i="1" s="1"/>
  <c r="H25" i="1"/>
  <c r="N6" i="1" l="1"/>
  <c r="N10" i="1" s="1"/>
  <c r="N12" i="1" s="1"/>
  <c r="N13" i="1" s="1"/>
  <c r="N25" i="1"/>
  <c r="N14" i="1" s="1"/>
  <c r="N15" i="1" s="1"/>
  <c r="M5" i="1"/>
  <c r="M25" i="1"/>
  <c r="M14" i="1" s="1"/>
  <c r="M15" i="1" s="1"/>
  <c r="N5" i="1" l="1"/>
</calcChain>
</file>

<file path=xl/sharedStrings.xml><?xml version="1.0" encoding="utf-8"?>
<sst xmlns="http://schemas.openxmlformats.org/spreadsheetml/2006/main" count="167" uniqueCount="115">
  <si>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</si>
  <si>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</si>
  <si>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</si>
  <si>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</si>
  <si>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</si>
  <si>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</si>
  <si>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</si>
  <si>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</si>
  <si>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</si>
  <si>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</si>
  <si>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</si>
  <si>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</si>
  <si>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</si>
  <si>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</si>
  <si>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</si>
  <si>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</si>
  <si>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</si>
  <si>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</si>
  <si>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</si>
  <si>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</si>
  <si>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</si>
  <si>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</si>
  <si>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</si>
  <si>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</si>
  <si>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</si>
  <si>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</si>
  <si>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</si>
  <si>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</si>
  <si>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</si>
  <si>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</si>
  <si>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</si>
  <si>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</si>
  <si>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</si>
  <si>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</si>
  <si>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</si>
  <si>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</si>
  <si>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</si>
  <si>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</si>
  <si>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</si>
  <si>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</si>
  <si>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</si>
  <si>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</si>
  <si>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</si>
  <si>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</si>
  <si>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</si>
  <si>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</si>
  <si>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</si>
  <si>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</si>
  <si>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</si>
  <si>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</si>
  <si>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</si>
  <si>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</si>
  <si>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</si>
  <si>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</si>
  <si>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</si>
  <si>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</si>
  <si>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</si>
  <si>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</si>
  <si>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</si>
  <si>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</si>
  <si>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</si>
  <si>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</si>
  <si>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</si>
  <si>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ADANI ENTERPRISES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</si>
  <si>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</si>
  <si>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</si>
  <si>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</si>
  <si>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</si>
  <si>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</si>
  <si>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</si>
  <si>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</si>
  <si>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</si>
  <si>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</si>
  <si>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</si>
  <si>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</si>
  <si>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</si>
  <si>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</si>
  <si>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</si>
  <si>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</si>
  <si>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</si>
  <si>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</si>
  <si>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</si>
  <si>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</si>
  <si>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</si>
  <si>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</si>
  <si>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</si>
  <si>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</si>
  <si>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</si>
  <si>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</si>
  <si>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</si>
  <si>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</si>
  <si>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</si>
  <si>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</si>
  <si>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Category</t>
  </si>
  <si>
    <t>Promoters</t>
  </si>
  <si>
    <t>FIIs</t>
  </si>
  <si>
    <t>DIIs</t>
  </si>
  <si>
    <t>Public</t>
  </si>
  <si>
    <t xml:space="preserve">72.61%	</t>
  </si>
  <si>
    <t>No. of Shareholders</t>
  </si>
  <si>
    <t xml:space="preserve">										</t>
  </si>
  <si>
    <t>Name</t>
  </si>
  <si>
    <t>CMP Rs.</t>
  </si>
  <si>
    <t>Adani Enterp.</t>
  </si>
  <si>
    <t>Starlineps Enter</t>
  </si>
  <si>
    <t xml:space="preserve">Rajdarshan Inds	</t>
  </si>
  <si>
    <t>S.No.</t>
  </si>
  <si>
    <t>P/E</t>
  </si>
  <si>
    <t>Div Yld %</t>
  </si>
  <si>
    <t>Mar Cap Rs.Cr.</t>
  </si>
  <si>
    <t>Qtr Profit Var %</t>
  </si>
  <si>
    <t>Sales Qtr Rs.Cr.</t>
  </si>
  <si>
    <t>Qtr Sales Var %</t>
  </si>
  <si>
    <t>ROCE %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</si>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</sst>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8" formatCode="*100\ %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7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10" fontId="0" fillId="0" borderId="0" xfId="6" applyNumberFormat="1" applyFont="1"/>
    <xf numFmtId="0" fontId="0" fillId="0" borderId="0" xfId="6" applyNumberFormat="1" applyFont="1"/>
    <xf numFmtId="3" fontId="0" fillId="0" borderId="0" xfId="0" applyNumberFormat="1" applyAlignment="1">
      <alignment wrapText="1"/>
    </xf>
    <xf numFmtId="3" fontId="0" fillId="0" borderId="0" xfId="0" applyNumberFormat="1"/>
    <xf numFmtId="2" fontId="0" fillId="0" borderId="0" xfId="0" applyNumberFormat="1"/>
    <xf numFmtId="0" fontId="10" fillId="5" borderId="0" xfId="0" applyFont="1" applyFill="1"/>
    <xf numFmtId="17" fontId="10" fillId="5" borderId="0" xfId="0" applyNumberFormat="1" applyFont="1" applyFill="1"/>
    <xf numFmtId="0" fontId="10" fillId="6" borderId="0" xfId="0" applyFont="1" applyFill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168" fontId="0" fillId="0" borderId="0" xfId="6" applyNumberFormat="1" applyFont="1"/>
    <xf numFmtId="168" fontId="0" fillId="0" borderId="0" xfId="0" applyNumberFormat="1"/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C23" sqref="C23"/>
    </sheetView>
  </sheetViews>
  <sheetFormatPr defaultColWidth="8.77734375" defaultRowHeight="14.4" x14ac:dyDescent="0.3"/>
  <cols>
    <col min="1" max="1" width="20.664062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ADANI ENTERPRISES LTD</v>
      </c>
      <c r="H1" t="str">
        <f>UPDATE</f>
        <v/>
      </c>
      <c r="J1" s="3"/>
      <c r="K1" s="3"/>
      <c r="M1" s="2" t="s">
        <v>1</v>
      </c>
    </row>
    <row r="3" spans="1:14" s="2" customFormat="1" x14ac:dyDescent="0.3">
      <c r="A3" s="11" t="s">
        <v>2</v>
      </c>
      <c r="B3" s="12">
        <f>'Data Sheet'!B16</f>
        <v>42825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3">
      <c r="A4" s="2" t="s">
        <v>6</v>
      </c>
      <c r="B4" s="1">
        <f>'Data Sheet'!B17</f>
        <v>7733.37</v>
      </c>
      <c r="C4" s="1">
        <f>'Data Sheet'!C17</f>
        <v>9512.41</v>
      </c>
      <c r="D4" s="1">
        <f>'Data Sheet'!D17</f>
        <v>15461.9</v>
      </c>
      <c r="E4" s="1">
        <f>'Data Sheet'!E17</f>
        <v>16101.4</v>
      </c>
      <c r="F4" s="1">
        <f>'Data Sheet'!F17</f>
        <v>13267.59</v>
      </c>
      <c r="G4" s="1">
        <f>'Data Sheet'!G17</f>
        <v>26806.12</v>
      </c>
      <c r="H4" s="1">
        <f>'Data Sheet'!H17</f>
        <v>57843.77</v>
      </c>
      <c r="I4" s="1">
        <f>'Data Sheet'!I17</f>
        <v>31918.26</v>
      </c>
      <c r="J4" s="1">
        <f>'Data Sheet'!J17</f>
        <v>26599.63</v>
      </c>
      <c r="K4" s="1">
        <f>'Data Sheet'!K17</f>
        <v>22916.71</v>
      </c>
      <c r="L4" s="1">
        <f>SUM(Quarters!H4:K4)</f>
        <v>23056.18</v>
      </c>
      <c r="M4" s="1">
        <f>$K4+M23*K4</f>
        <v>23056.18</v>
      </c>
      <c r="N4" s="1">
        <f>$K4+N23*L4</f>
        <v>16794.258022434009</v>
      </c>
    </row>
    <row r="5" spans="1:14" x14ac:dyDescent="0.3">
      <c r="A5" t="s">
        <v>7</v>
      </c>
      <c r="B5" s="6">
        <f>SUM('Data Sheet'!B18,'Data Sheet'!B20:B24, -1*'Data Sheet'!B19)</f>
        <v>7164.0599999999986</v>
      </c>
      <c r="C5" s="6">
        <f>SUM('Data Sheet'!C18,'Data Sheet'!C20:C24, -1*'Data Sheet'!C19)</f>
        <v>8900.3199999999979</v>
      </c>
      <c r="D5" s="6">
        <f>SUM('Data Sheet'!D18,'Data Sheet'!D20:D24, -1*'Data Sheet'!D19)</f>
        <v>14513.630000000003</v>
      </c>
      <c r="E5" s="6">
        <f>SUM('Data Sheet'!E18,'Data Sheet'!E20:E24, -1*'Data Sheet'!E19)</f>
        <v>15355.460000000001</v>
      </c>
      <c r="F5" s="6">
        <f>SUM('Data Sheet'!F18,'Data Sheet'!F20:F24, -1*'Data Sheet'!F19)</f>
        <v>12263.95</v>
      </c>
      <c r="G5" s="6">
        <f>SUM('Data Sheet'!G18,'Data Sheet'!G20:G24, -1*'Data Sheet'!G19)</f>
        <v>25500.04</v>
      </c>
      <c r="H5" s="6">
        <f>SUM('Data Sheet'!H18,'Data Sheet'!H20:H24, -1*'Data Sheet'!H19)</f>
        <v>56039.909999999996</v>
      </c>
      <c r="I5" s="6">
        <f>SUM('Data Sheet'!I18,'Data Sheet'!I20:I24, -1*'Data Sheet'!I19)</f>
        <v>28979.660000000003</v>
      </c>
      <c r="J5" s="6">
        <f>SUM('Data Sheet'!J18,'Data Sheet'!J20:J24, -1*'Data Sheet'!J19)</f>
        <v>24006.239999999998</v>
      </c>
      <c r="K5" s="6">
        <f>SUM('Data Sheet'!K18,'Data Sheet'!K20:K24, -1*'Data Sheet'!K19)</f>
        <v>21022.32</v>
      </c>
      <c r="L5" s="6">
        <f>SUM(Quarters!H5:K5)</f>
        <v>21161.8</v>
      </c>
      <c r="M5" s="6">
        <f t="shared" ref="M5:N5" si="0">M4-M6</f>
        <v>20953.585353149647</v>
      </c>
      <c r="N5" s="6">
        <f t="shared" si="0"/>
        <v>15738.597234824487</v>
      </c>
    </row>
    <row r="6" spans="1:14" s="2" customFormat="1" x14ac:dyDescent="0.3">
      <c r="A6" s="2" t="s">
        <v>8</v>
      </c>
      <c r="B6" s="1">
        <f>B4-B5</f>
        <v>569.31000000000131</v>
      </c>
      <c r="C6" s="1">
        <f t="shared" ref="C6:K6" si="1">C4-C5</f>
        <v>612.09000000000196</v>
      </c>
      <c r="D6" s="1">
        <f t="shared" si="1"/>
        <v>948.2699999999968</v>
      </c>
      <c r="E6" s="1">
        <f t="shared" si="1"/>
        <v>745.93999999999869</v>
      </c>
      <c r="F6" s="1">
        <f t="shared" si="1"/>
        <v>1003.6399999999994</v>
      </c>
      <c r="G6" s="1">
        <f t="shared" si="1"/>
        <v>1306.0799999999981</v>
      </c>
      <c r="H6" s="1">
        <f t="shared" si="1"/>
        <v>1803.8600000000006</v>
      </c>
      <c r="I6" s="1">
        <f t="shared" si="1"/>
        <v>2938.5999999999949</v>
      </c>
      <c r="J6" s="1">
        <f t="shared" si="1"/>
        <v>2593.3900000000031</v>
      </c>
      <c r="K6" s="1">
        <f t="shared" si="1"/>
        <v>1894.3899999999994</v>
      </c>
      <c r="L6" s="1">
        <f>SUM(Quarters!H6:K6)</f>
        <v>1894.38</v>
      </c>
      <c r="M6" s="1">
        <f>M4*M24</f>
        <v>2102.5946468503553</v>
      </c>
      <c r="N6" s="1">
        <f>N4*N24</f>
        <v>1055.6607876095215</v>
      </c>
    </row>
    <row r="7" spans="1:14" x14ac:dyDescent="0.3">
      <c r="A7" t="s">
        <v>9</v>
      </c>
      <c r="B7" s="6">
        <f>'Data Sheet'!B25</f>
        <v>679.87</v>
      </c>
      <c r="C7" s="6">
        <f>'Data Sheet'!C25</f>
        <v>435.15</v>
      </c>
      <c r="D7" s="6">
        <f>'Data Sheet'!D25</f>
        <v>363.52</v>
      </c>
      <c r="E7" s="6">
        <f>'Data Sheet'!E25</f>
        <v>725.59</v>
      </c>
      <c r="F7" s="6">
        <f>'Data Sheet'!F25</f>
        <v>179.06</v>
      </c>
      <c r="G7" s="6">
        <f>'Data Sheet'!G25</f>
        <v>503.23</v>
      </c>
      <c r="H7" s="6">
        <f>'Data Sheet'!H25</f>
        <v>1202.03</v>
      </c>
      <c r="I7" s="6">
        <f>'Data Sheet'!I25</f>
        <v>1638.8</v>
      </c>
      <c r="J7" s="6">
        <f>'Data Sheet'!J25</f>
        <v>5461.15</v>
      </c>
      <c r="K7" s="6">
        <f>'Data Sheet'!K25</f>
        <v>12200.9</v>
      </c>
      <c r="L7" s="6">
        <f>SUM(Quarters!H7:K7)</f>
        <v>12200.900000000001</v>
      </c>
      <c r="M7" s="6">
        <v>0</v>
      </c>
      <c r="N7" s="6">
        <v>0</v>
      </c>
    </row>
    <row r="8" spans="1:14" x14ac:dyDescent="0.3">
      <c r="A8" t="s">
        <v>10</v>
      </c>
      <c r="B8" s="6">
        <f>'Data Sheet'!B26</f>
        <v>78.86</v>
      </c>
      <c r="C8" s="6">
        <f>'Data Sheet'!C26</f>
        <v>87.41</v>
      </c>
      <c r="D8" s="6">
        <f>'Data Sheet'!D26</f>
        <v>101.19</v>
      </c>
      <c r="E8" s="6">
        <f>'Data Sheet'!E26</f>
        <v>120.97</v>
      </c>
      <c r="F8" s="6">
        <f>'Data Sheet'!F26</f>
        <v>121.51</v>
      </c>
      <c r="G8" s="6">
        <f>'Data Sheet'!G26</f>
        <v>124.73</v>
      </c>
      <c r="H8" s="6">
        <f>'Data Sheet'!H26</f>
        <v>131.04</v>
      </c>
      <c r="I8" s="6">
        <f>'Data Sheet'!I26</f>
        <v>142.59</v>
      </c>
      <c r="J8" s="6">
        <f>'Data Sheet'!J26</f>
        <v>154.85</v>
      </c>
      <c r="K8" s="6">
        <f>'Data Sheet'!K26</f>
        <v>188.3</v>
      </c>
      <c r="L8" s="6">
        <f>SUM(Quarters!H8:K8)</f>
        <v>188.31</v>
      </c>
      <c r="M8" s="6">
        <f>+$L8</f>
        <v>188.31</v>
      </c>
      <c r="N8" s="6">
        <f>+$L8</f>
        <v>188.31</v>
      </c>
    </row>
    <row r="9" spans="1:14" x14ac:dyDescent="0.3">
      <c r="A9" t="s">
        <v>11</v>
      </c>
      <c r="B9" s="6">
        <f>'Data Sheet'!B27</f>
        <v>781.8</v>
      </c>
      <c r="C9" s="6">
        <f>'Data Sheet'!C27</f>
        <v>666.35</v>
      </c>
      <c r="D9" s="6">
        <f>'Data Sheet'!D27</f>
        <v>581.07000000000005</v>
      </c>
      <c r="E9" s="6">
        <f>'Data Sheet'!E27</f>
        <v>381.01</v>
      </c>
      <c r="F9" s="6">
        <f>'Data Sheet'!F27</f>
        <v>505.93</v>
      </c>
      <c r="G9" s="6">
        <f>'Data Sheet'!G27</f>
        <v>571.33000000000004</v>
      </c>
      <c r="H9" s="6">
        <f>'Data Sheet'!H27</f>
        <v>664.13</v>
      </c>
      <c r="I9" s="6">
        <f>'Data Sheet'!I27</f>
        <v>638.19000000000005</v>
      </c>
      <c r="J9" s="6">
        <f>'Data Sheet'!J27</f>
        <v>1008.57</v>
      </c>
      <c r="K9" s="6">
        <f>'Data Sheet'!K27</f>
        <v>1747.51</v>
      </c>
      <c r="L9" s="6">
        <f>SUM(Quarters!H9:K9)</f>
        <v>1747.5</v>
      </c>
      <c r="M9" s="6">
        <f>+$L9</f>
        <v>1747.5</v>
      </c>
      <c r="N9" s="6">
        <f>+$L9</f>
        <v>1747.5</v>
      </c>
    </row>
    <row r="10" spans="1:14" x14ac:dyDescent="0.3">
      <c r="A10" t="s">
        <v>12</v>
      </c>
      <c r="B10" s="6">
        <f>'Data Sheet'!B28</f>
        <v>388.52</v>
      </c>
      <c r="C10" s="6">
        <f>'Data Sheet'!C28</f>
        <v>293.48</v>
      </c>
      <c r="D10" s="6">
        <f>'Data Sheet'!D28</f>
        <v>629.53</v>
      </c>
      <c r="E10" s="6">
        <f>'Data Sheet'!E28</f>
        <v>969.55</v>
      </c>
      <c r="F10" s="6">
        <f>'Data Sheet'!F28</f>
        <v>555.26</v>
      </c>
      <c r="G10" s="6">
        <f>'Data Sheet'!G28</f>
        <v>1113.25</v>
      </c>
      <c r="H10" s="6">
        <f>'Data Sheet'!H28</f>
        <v>2210.7199999999998</v>
      </c>
      <c r="I10" s="6">
        <f>'Data Sheet'!I28</f>
        <v>3796.62</v>
      </c>
      <c r="J10" s="6">
        <f>'Data Sheet'!J28</f>
        <v>6891.12</v>
      </c>
      <c r="K10" s="6">
        <f>'Data Sheet'!K28</f>
        <v>12159.48</v>
      </c>
      <c r="L10" s="6">
        <f>SUM(Quarters!H10:K10)</f>
        <v>12159.470000000001</v>
      </c>
      <c r="M10" s="6">
        <f>M6+M7-SUM(M8:M9)</f>
        <v>166.78464685035533</v>
      </c>
      <c r="N10" s="6">
        <f>N6+N7-SUM(N8:N9)</f>
        <v>-880.1492123904784</v>
      </c>
    </row>
    <row r="11" spans="1:14" x14ac:dyDescent="0.3">
      <c r="A11" t="s">
        <v>13</v>
      </c>
      <c r="B11" s="6">
        <f>'Data Sheet'!B29</f>
        <v>166.88</v>
      </c>
      <c r="C11" s="6">
        <f>'Data Sheet'!C29</f>
        <v>96.45</v>
      </c>
      <c r="D11" s="6">
        <f>'Data Sheet'!D29</f>
        <v>142.29</v>
      </c>
      <c r="E11" s="6">
        <f>'Data Sheet'!E29</f>
        <v>270.66000000000003</v>
      </c>
      <c r="F11" s="6">
        <f>'Data Sheet'!F29</f>
        <v>186.45</v>
      </c>
      <c r="G11" s="6">
        <f>'Data Sheet'!G29</f>
        <v>392.55</v>
      </c>
      <c r="H11" s="6">
        <f>'Data Sheet'!H29</f>
        <v>587.99</v>
      </c>
      <c r="I11" s="6">
        <f>'Data Sheet'!I29</f>
        <v>952.36</v>
      </c>
      <c r="J11" s="6">
        <f>'Data Sheet'!J29</f>
        <v>850.89</v>
      </c>
      <c r="K11" s="6">
        <f>'Data Sheet'!K29</f>
        <v>781.42</v>
      </c>
      <c r="L11" s="6">
        <f>SUM(Quarters!H11:K11)</f>
        <v>781.42000000000007</v>
      </c>
      <c r="M11" s="7">
        <f>IF($L10&gt;0,$L11/$L10,0)</f>
        <v>6.4264314151850369E-2</v>
      </c>
      <c r="N11" s="7">
        <f>IF($L10&gt;0,$L11/$L10,0)</f>
        <v>6.4264314151850369E-2</v>
      </c>
    </row>
    <row r="12" spans="1:14" s="2" customFormat="1" x14ac:dyDescent="0.3">
      <c r="A12" s="2" t="s">
        <v>14</v>
      </c>
      <c r="B12" s="1">
        <f>'Data Sheet'!B30</f>
        <v>221.64</v>
      </c>
      <c r="C12" s="1">
        <f>'Data Sheet'!C30</f>
        <v>197.03</v>
      </c>
      <c r="D12" s="1">
        <f>'Data Sheet'!D30</f>
        <v>487.24</v>
      </c>
      <c r="E12" s="1">
        <f>'Data Sheet'!E30</f>
        <v>698.89</v>
      </c>
      <c r="F12" s="1">
        <f>'Data Sheet'!F30</f>
        <v>368.81</v>
      </c>
      <c r="G12" s="1">
        <f>'Data Sheet'!G30</f>
        <v>720.7</v>
      </c>
      <c r="H12" s="1">
        <f>'Data Sheet'!H30</f>
        <v>1622.73</v>
      </c>
      <c r="I12" s="1">
        <f>'Data Sheet'!I30</f>
        <v>2844.26</v>
      </c>
      <c r="J12" s="1">
        <f>'Data Sheet'!J30</f>
        <v>6040.23</v>
      </c>
      <c r="K12" s="1">
        <f>'Data Sheet'!K30</f>
        <v>11378.06</v>
      </c>
      <c r="L12" s="1">
        <f>SUM(Quarters!H12:K12)</f>
        <v>11378.05</v>
      </c>
      <c r="M12" s="1">
        <f>M10-M11*M10</f>
        <v>156.06634590945868</v>
      </c>
      <c r="N12" s="1">
        <f>N10-N11*N10</f>
        <v>-823.58702690491305</v>
      </c>
    </row>
    <row r="13" spans="1:14" x14ac:dyDescent="0.3">
      <c r="A13" t="s">
        <v>57</v>
      </c>
      <c r="B13" s="6">
        <f>IF('Data Sheet'!B93&gt;0,B12/'Data Sheet'!B93,0)</f>
        <v>1.7993180711154406</v>
      </c>
      <c r="C13" s="6">
        <f>IF('Data Sheet'!C93&gt;0,C12/'Data Sheet'!C93,0)</f>
        <v>1.5995291443416138</v>
      </c>
      <c r="D13" s="6">
        <f>IF('Data Sheet'!D93&gt;0,D12/'Data Sheet'!D93,0)</f>
        <v>3.9555122584835201</v>
      </c>
      <c r="E13" s="6">
        <f>IF('Data Sheet'!E93&gt;0,E12/'Data Sheet'!E93,0)</f>
        <v>5.673729501542458</v>
      </c>
      <c r="F13" s="6">
        <f>IF('Data Sheet'!F93&gt;0,F12/'Data Sheet'!F93,0)</f>
        <v>2.9940737132651405</v>
      </c>
      <c r="G13" s="6">
        <f>IF('Data Sheet'!G93&gt;0,G12/'Data Sheet'!G93,0)</f>
        <v>5.8507874654976462</v>
      </c>
      <c r="H13" s="6">
        <f>IF('Data Sheet'!H93&gt;0,H12/'Data Sheet'!H93,0)</f>
        <v>12.709351503759398</v>
      </c>
      <c r="I13" s="6">
        <f>IF('Data Sheet'!I93&gt;0,I12/'Data Sheet'!I93,0)</f>
        <v>22.276472431077696</v>
      </c>
      <c r="J13" s="6">
        <f>IF('Data Sheet'!J93&gt;0,J12/'Data Sheet'!J93,0)</f>
        <v>46.725690415409602</v>
      </c>
      <c r="K13" s="6">
        <f>IF('Data Sheet'!K93&gt;0,K12/'Data Sheet'!K93,0)</f>
        <v>88.092753174357384</v>
      </c>
      <c r="L13" s="6">
        <f>IF('Data Sheet'!$B6&gt;0,'Profit &amp; Loss'!L12/'Data Sheet'!$B6,0)</f>
        <v>87.472975787281968</v>
      </c>
      <c r="M13" s="6">
        <f>IF('Data Sheet'!$B6&gt;0,'Profit &amp; Loss'!M12/'Data Sheet'!$B6,0)</f>
        <v>1.1998178683471818</v>
      </c>
      <c r="N13" s="6">
        <f>IF('Data Sheet'!$B6&gt;0,'Profit &amp; Loss'!N12/'Data Sheet'!$B6,0)</f>
        <v>-6.3316304694717473</v>
      </c>
    </row>
    <row r="14" spans="1:14" x14ac:dyDescent="0.3">
      <c r="A14" t="s">
        <v>16</v>
      </c>
      <c r="B14" s="6">
        <f>IF(B15&gt;0,B15/B13,"")</f>
        <v>39.081472658364916</v>
      </c>
      <c r="C14" s="6">
        <f t="shared" ref="C14:K14" si="2">IF(C15&gt;0,C15/C13,"")</f>
        <v>63.337389230066492</v>
      </c>
      <c r="D14" s="6">
        <f t="shared" si="2"/>
        <v>35.967528528035466</v>
      </c>
      <c r="E14" s="6">
        <f t="shared" si="2"/>
        <v>23.511871682238979</v>
      </c>
      <c r="F14" s="6">
        <f t="shared" si="2"/>
        <v>333.88623518885061</v>
      </c>
      <c r="G14" s="6">
        <f t="shared" si="2"/>
        <v>333.84736866934924</v>
      </c>
      <c r="H14" s="6">
        <f t="shared" si="2"/>
        <v>133.52687582037677</v>
      </c>
      <c r="I14" s="6">
        <f t="shared" si="2"/>
        <v>139.13962408499924</v>
      </c>
      <c r="J14" s="6">
        <f t="shared" si="2"/>
        <v>48.049156257294847</v>
      </c>
      <c r="K14" s="6">
        <f t="shared" si="2"/>
        <v>19.965319922728479</v>
      </c>
      <c r="L14" s="6">
        <f t="shared" ref="L14" si="3">IF(L13&gt;0,L15/L13,0)</f>
        <v>33.651536071646724</v>
      </c>
      <c r="M14" s="6">
        <f>M25</f>
        <v>60.201409084167317</v>
      </c>
      <c r="N14" s="6">
        <f>N25</f>
        <v>33.651536071646724</v>
      </c>
    </row>
    <row r="15" spans="1:14" s="2" customFormat="1" x14ac:dyDescent="0.3">
      <c r="A15" s="2" t="s">
        <v>58</v>
      </c>
      <c r="B15" s="1">
        <f>'Data Sheet'!B90</f>
        <v>70.319999999999993</v>
      </c>
      <c r="C15" s="1">
        <f>'Data Sheet'!C90</f>
        <v>101.31</v>
      </c>
      <c r="D15" s="1">
        <f>'Data Sheet'!D90</f>
        <v>142.27000000000001</v>
      </c>
      <c r="E15" s="1">
        <f>'Data Sheet'!E90</f>
        <v>133.4</v>
      </c>
      <c r="F15" s="1">
        <f>'Data Sheet'!F90</f>
        <v>999.68</v>
      </c>
      <c r="G15" s="1">
        <f>'Data Sheet'!G90</f>
        <v>1953.27</v>
      </c>
      <c r="H15" s="1">
        <f>'Data Sheet'!H90</f>
        <v>1697.04</v>
      </c>
      <c r="I15" s="1">
        <f>'Data Sheet'!I90</f>
        <v>3099.54</v>
      </c>
      <c r="J15" s="1">
        <f>'Data Sheet'!J90</f>
        <v>2245.13</v>
      </c>
      <c r="K15" s="1">
        <f>'Data Sheet'!K90</f>
        <v>1758.8</v>
      </c>
      <c r="L15" s="1">
        <f>'Data Sheet'!B8</f>
        <v>2943.6</v>
      </c>
      <c r="M15" s="8">
        <f>M13*M14</f>
        <v>72.230726318862295</v>
      </c>
      <c r="N15" s="9">
        <f>N13*N14</f>
        <v>-213.069091135766</v>
      </c>
    </row>
    <row r="17" spans="1:14" s="2" customFormat="1" x14ac:dyDescent="0.3">
      <c r="A17" s="2" t="s">
        <v>15</v>
      </c>
    </row>
    <row r="18" spans="1:14" x14ac:dyDescent="0.3">
      <c r="A18" t="s">
        <v>17</v>
      </c>
      <c r="B18" s="5">
        <f>IF('Data Sheet'!B30&gt;0, 'Data Sheet'!B31/'Data Sheet'!B30, 0)</f>
        <v>0.19847500451182098</v>
      </c>
      <c r="C18" s="5">
        <f>IF('Data Sheet'!C30&gt;0, 'Data Sheet'!C31/'Data Sheet'!C30, 0)</f>
        <v>0.22326549256458408</v>
      </c>
      <c r="D18" s="5">
        <f>IF('Data Sheet'!D30&gt;0, 'Data Sheet'!D31/'Data Sheet'!D30, 0)</f>
        <v>9.0284048928659391E-2</v>
      </c>
      <c r="E18" s="5">
        <f>IF('Data Sheet'!E30&gt;0, 'Data Sheet'!E31/'Data Sheet'!E30, 0)</f>
        <v>0.15736381977135172</v>
      </c>
      <c r="F18" s="5">
        <f>IF('Data Sheet'!F30&gt;0, 'Data Sheet'!F31/'Data Sheet'!F30, 0)</f>
        <v>0.29820232640112798</v>
      </c>
      <c r="G18" s="5">
        <f>IF('Data Sheet'!G30&gt;0, 'Data Sheet'!G31/'Data Sheet'!G30, 0)</f>
        <v>0.1526016372970723</v>
      </c>
      <c r="H18" s="5">
        <f>IF('Data Sheet'!H30&gt;0, 'Data Sheet'!H31/'Data Sheet'!H30, 0)</f>
        <v>8.4302379323732232E-2</v>
      </c>
      <c r="I18" s="5">
        <f>IF('Data Sheet'!I30&gt;0, 'Data Sheet'!I31/'Data Sheet'!I30, 0)</f>
        <v>5.2104941179779617E-2</v>
      </c>
      <c r="J18" s="5">
        <f>IF('Data Sheet'!J30&gt;0, 'Data Sheet'!J31/'Data Sheet'!J30, 0)</f>
        <v>2.4841769270375468E-2</v>
      </c>
      <c r="K18" s="5">
        <f>IF('Data Sheet'!K30&gt;0, 'Data Sheet'!K31/'Data Sheet'!K30, 0)</f>
        <v>1.4766137636820336E-2</v>
      </c>
    </row>
    <row r="19" spans="1:14" x14ac:dyDescent="0.3">
      <c r="A19" t="s">
        <v>18</v>
      </c>
      <c r="B19" s="5">
        <f t="shared" ref="B19:L19" si="4">IF(B6&gt;0,B6/B4,0)</f>
        <v>7.3617323366139381E-2</v>
      </c>
      <c r="C19" s="5">
        <f t="shared" ref="C19:K19" si="5">IF(C6&gt;0,C6/C4,0)</f>
        <v>6.4346469506676218E-2</v>
      </c>
      <c r="D19" s="5">
        <f t="shared" si="5"/>
        <v>6.1329461450403688E-2</v>
      </c>
      <c r="E19" s="5">
        <f t="shared" si="5"/>
        <v>4.632764852745716E-2</v>
      </c>
      <c r="F19" s="5">
        <f t="shared" si="5"/>
        <v>7.5645991472452753E-2</v>
      </c>
      <c r="G19" s="5">
        <f t="shared" si="5"/>
        <v>4.872320201506216E-2</v>
      </c>
      <c r="H19" s="5">
        <f t="shared" si="5"/>
        <v>3.1185035138615633E-2</v>
      </c>
      <c r="I19" s="5">
        <f t="shared" si="5"/>
        <v>9.2066422167122991E-2</v>
      </c>
      <c r="J19" s="5">
        <f t="shared" si="5"/>
        <v>9.749722082600408E-2</v>
      </c>
      <c r="K19" s="5">
        <f t="shared" si="5"/>
        <v>8.2664134598727276E-2</v>
      </c>
      <c r="L19" s="5">
        <f t="shared" si="4"/>
        <v>8.2163654169944894E-2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3">
      <c r="A23"/>
      <c r="B23"/>
      <c r="C23"/>
      <c r="D23"/>
      <c r="E23"/>
      <c r="F23"/>
      <c r="G23" t="s">
        <v>22</v>
      </c>
      <c r="H23" s="5">
        <f>IF(B4=0,"",POWER($K4/B4,1/9)-1)</f>
        <v>0.12828908449664311</v>
      </c>
      <c r="I23" s="5">
        <f>IF(D4=0,"",POWER($K4/D4,1/7)-1)</f>
        <v>5.7822432825499925E-2</v>
      </c>
      <c r="J23" s="5">
        <f>IF(F4=0,"",POWER($K4/F4,1/5)-1)</f>
        <v>0.11550634612950383</v>
      </c>
      <c r="K23" s="5">
        <f>IF(H4=0,"",POWER($K4/H4, 1/3)-1)</f>
        <v>-0.26554494185793098</v>
      </c>
      <c r="L23" s="5">
        <f>IF(ISERROR(MAX(IF(J4=0,"",(K4-J4)/J4),IF(K4=0,"",(L4-K4)/K4))),"",MAX(IF(J4=0,"",(K4-J4)/J4),IF(K4=0,"",(L4-K4)/K4)))</f>
        <v>6.0859521283814812E-3</v>
      </c>
      <c r="M23" s="16">
        <f>MAX(K23:L23)</f>
        <v>6.0859521283814812E-3</v>
      </c>
      <c r="N23" s="16">
        <f>MIN(H23:L23)</f>
        <v>-0.26554494185793098</v>
      </c>
    </row>
    <row r="24" spans="1:14" x14ac:dyDescent="0.3">
      <c r="G24" t="s">
        <v>18</v>
      </c>
      <c r="H24" s="5">
        <f>IF(SUM(B4:$K$4)=0,"",SUMPRODUCT(B19:$K$19,B4:$K$4)/SUM(B4:$K$4))</f>
        <v>6.3181524848488643E-2</v>
      </c>
      <c r="I24" s="5">
        <f>IF(SUM(E4:$K$4)=0,"",SUMPRODUCT(E19:$K$19,E4:$K$4)/SUM(E4:$K$4))</f>
        <v>6.2858435674821411E-2</v>
      </c>
      <c r="J24" s="5">
        <f>IF(SUM(G4:$K$4)=0,"",SUMPRODUCT(G19:$K$19,G4:$K$4)/SUM(G4:$K$4))</f>
        <v>6.3439518042894896E-2</v>
      </c>
      <c r="K24" s="5">
        <f>IF(SUM(I4:$K$4)=0, "", SUMPRODUCT(I19:$K$19,I4:$K$4)/SUM(I4:$K$4))</f>
        <v>9.1194406308866216E-2</v>
      </c>
      <c r="L24" s="5">
        <f>L19</f>
        <v>8.2163654169944894E-2</v>
      </c>
      <c r="M24" s="16">
        <f>MAX(K24:L24)</f>
        <v>9.1194406308866216E-2</v>
      </c>
      <c r="N24" s="16">
        <f>MIN(H24:L24)</f>
        <v>6.2858435674821411E-2</v>
      </c>
    </row>
    <row r="25" spans="1:14" x14ac:dyDescent="0.3">
      <c r="G25" t="s">
        <v>23</v>
      </c>
      <c r="H25" s="6">
        <f>IF(ISERROR(AVERAGEIF(B14:$L14,"&gt;0")),"",AVERAGEIF(B14:$L14,"&gt;0"))</f>
        <v>109.45130710126833</v>
      </c>
      <c r="I25" s="6">
        <f>IF(ISERROR(AVERAGEIF(E14:$L14,"&gt;0")),"",AVERAGEIF(E14:$L14,"&gt;0"))</f>
        <v>133.1972484621856</v>
      </c>
      <c r="J25" s="6">
        <f>IF(ISERROR(AVERAGEIF(G14:$L14,"&gt;0")),"",AVERAGEIF(G14:$L14,"&gt;0"))</f>
        <v>118.02998013773255</v>
      </c>
      <c r="K25" s="6">
        <f>IF(ISERROR(AVERAGEIF(I14:$L14,"&gt;0")),"",AVERAGEIF(I14:$L14,"&gt;0"))</f>
        <v>60.201409084167317</v>
      </c>
      <c r="L25" s="6">
        <f>L14</f>
        <v>33.651536071646724</v>
      </c>
      <c r="M25" s="1">
        <f>MAX(K25:L25)</f>
        <v>60.201409084167317</v>
      </c>
      <c r="N25" s="1">
        <f>MIN(H25:L25)</f>
        <v>33.651536071646724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customWidth="1"/>
    <col min="2" max="11" width="13.44140625" bestFit="1" customWidth="1"/>
  </cols>
  <sheetData>
    <row r="1" spans="1:11" s="2" customFormat="1" x14ac:dyDescent="0.3">
      <c r="A1" s="2" t="str">
        <f>'Profit &amp; Loss'!A1</f>
        <v>ADANI ENTERPRISES LTD</v>
      </c>
      <c r="E1" t="str">
        <f>UPDATE</f>
        <v/>
      </c>
      <c r="J1" s="2" t="s">
        <v>1</v>
      </c>
    </row>
    <row r="3" spans="1:11" s="2" customFormat="1" x14ac:dyDescent="0.3">
      <c r="A3" s="11" t="s">
        <v>2</v>
      </c>
      <c r="B3" s="12">
        <f>'Data Sheet'!B41</f>
        <v>45291</v>
      </c>
      <c r="C3" s="12">
        <f>'Data Sheet'!C41</f>
        <v>45382</v>
      </c>
      <c r="D3" s="12">
        <f>'Data Sheet'!D41</f>
        <v>45473</v>
      </c>
      <c r="E3" s="12">
        <f>'Data Sheet'!E41</f>
        <v>45565</v>
      </c>
      <c r="F3" s="12">
        <f>'Data Sheet'!F41</f>
        <v>45657</v>
      </c>
      <c r="G3" s="12">
        <f>'Data Sheet'!G41</f>
        <v>45747</v>
      </c>
      <c r="H3" s="12">
        <f>'Data Sheet'!H41</f>
        <v>45838</v>
      </c>
      <c r="I3" s="12">
        <f>'Data Sheet'!I41</f>
        <v>45930</v>
      </c>
      <c r="J3" s="12">
        <f>'Data Sheet'!J41</f>
        <v>46022</v>
      </c>
      <c r="K3" s="12">
        <f>'Data Sheet'!K41</f>
        <v>46112</v>
      </c>
    </row>
    <row r="4" spans="1:11" s="2" customFormat="1" x14ac:dyDescent="0.3">
      <c r="A4" s="2" t="s">
        <v>6</v>
      </c>
      <c r="B4" s="1">
        <f>'Data Sheet'!B42</f>
        <v>7960.79</v>
      </c>
      <c r="C4" s="1">
        <f>'Data Sheet'!C42</f>
        <v>9210.18</v>
      </c>
      <c r="D4" s="1">
        <f>'Data Sheet'!D42</f>
        <v>7800.75</v>
      </c>
      <c r="E4" s="1">
        <f>'Data Sheet'!E42</f>
        <v>6586.92</v>
      </c>
      <c r="F4" s="1">
        <f>'Data Sheet'!F42</f>
        <v>6156.76</v>
      </c>
      <c r="G4" s="1">
        <f>'Data Sheet'!G42</f>
        <v>6164.55</v>
      </c>
      <c r="H4" s="1">
        <f>'Data Sheet'!H42</f>
        <v>5875.6</v>
      </c>
      <c r="I4" s="1">
        <f>'Data Sheet'!I42</f>
        <v>5066.43</v>
      </c>
      <c r="J4" s="1">
        <f>'Data Sheet'!J42</f>
        <v>5304.07</v>
      </c>
      <c r="K4" s="1">
        <f>'Data Sheet'!K42</f>
        <v>6810.08</v>
      </c>
    </row>
    <row r="5" spans="1:11" x14ac:dyDescent="0.3">
      <c r="A5" t="s">
        <v>7</v>
      </c>
      <c r="B5" s="6">
        <f>'Data Sheet'!B43</f>
        <v>7171.4</v>
      </c>
      <c r="C5" s="6">
        <f>'Data Sheet'!C43</f>
        <v>8274.9699999999993</v>
      </c>
      <c r="D5" s="6">
        <f>'Data Sheet'!D43</f>
        <v>7090.24</v>
      </c>
      <c r="E5" s="6">
        <f>'Data Sheet'!E43</f>
        <v>5848.4</v>
      </c>
      <c r="F5" s="6">
        <f>'Data Sheet'!F43</f>
        <v>5531.64</v>
      </c>
      <c r="G5" s="6">
        <f>'Data Sheet'!G43</f>
        <v>5645.31</v>
      </c>
      <c r="H5" s="6">
        <f>'Data Sheet'!H43</f>
        <v>5296.25</v>
      </c>
      <c r="I5" s="6">
        <f>'Data Sheet'!I43</f>
        <v>4400.3500000000004</v>
      </c>
      <c r="J5" s="6">
        <f>'Data Sheet'!J43</f>
        <v>4830.09</v>
      </c>
      <c r="K5" s="6">
        <f>'Data Sheet'!K43</f>
        <v>6635.11</v>
      </c>
    </row>
    <row r="6" spans="1:11" s="2" customFormat="1" x14ac:dyDescent="0.3">
      <c r="A6" s="2" t="s">
        <v>8</v>
      </c>
      <c r="B6" s="1">
        <f>'Data Sheet'!B50</f>
        <v>789.39</v>
      </c>
      <c r="C6" s="1">
        <f>'Data Sheet'!C50</f>
        <v>935.21</v>
      </c>
      <c r="D6" s="1">
        <f>'Data Sheet'!D50</f>
        <v>710.51</v>
      </c>
      <c r="E6" s="1">
        <f>'Data Sheet'!E50</f>
        <v>738.52</v>
      </c>
      <c r="F6" s="1">
        <f>'Data Sheet'!F50</f>
        <v>625.12</v>
      </c>
      <c r="G6" s="1">
        <f>'Data Sheet'!G50</f>
        <v>519.24</v>
      </c>
      <c r="H6" s="1">
        <f>'Data Sheet'!H50</f>
        <v>579.35</v>
      </c>
      <c r="I6" s="1">
        <f>'Data Sheet'!I50</f>
        <v>666.08</v>
      </c>
      <c r="J6" s="1">
        <f>'Data Sheet'!J50</f>
        <v>473.98</v>
      </c>
      <c r="K6" s="1">
        <f>'Data Sheet'!K50</f>
        <v>174.97</v>
      </c>
    </row>
    <row r="7" spans="1:11" x14ac:dyDescent="0.3">
      <c r="A7" t="s">
        <v>9</v>
      </c>
      <c r="B7" s="6">
        <f>'Data Sheet'!B44</f>
        <v>378.03</v>
      </c>
      <c r="C7" s="6">
        <f>'Data Sheet'!C44</f>
        <v>347.93</v>
      </c>
      <c r="D7" s="6">
        <f>'Data Sheet'!D44</f>
        <v>317.37</v>
      </c>
      <c r="E7" s="6">
        <f>'Data Sheet'!E44</f>
        <v>353.27</v>
      </c>
      <c r="F7" s="6">
        <f>'Data Sheet'!F44</f>
        <v>426.26</v>
      </c>
      <c r="G7" s="6">
        <f>'Data Sheet'!G44</f>
        <v>4364.25</v>
      </c>
      <c r="H7" s="6">
        <f>'Data Sheet'!H44</f>
        <v>492.38</v>
      </c>
      <c r="I7" s="6">
        <f>'Data Sheet'!I44</f>
        <v>4271.6499999999996</v>
      </c>
      <c r="J7" s="6">
        <f>'Data Sheet'!J44</f>
        <v>6517.85</v>
      </c>
      <c r="K7" s="6">
        <f>'Data Sheet'!K44</f>
        <v>919.02</v>
      </c>
    </row>
    <row r="8" spans="1:11" x14ac:dyDescent="0.3">
      <c r="A8" t="s">
        <v>10</v>
      </c>
      <c r="B8" s="6">
        <f>'Data Sheet'!B45</f>
        <v>35.51</v>
      </c>
      <c r="C8" s="6">
        <f>'Data Sheet'!C45</f>
        <v>37.409999999999997</v>
      </c>
      <c r="D8" s="6">
        <f>'Data Sheet'!D45</f>
        <v>37.57</v>
      </c>
      <c r="E8" s="6">
        <f>'Data Sheet'!E45</f>
        <v>38.729999999999997</v>
      </c>
      <c r="F8" s="6">
        <f>'Data Sheet'!F45</f>
        <v>37.56</v>
      </c>
      <c r="G8" s="6">
        <f>'Data Sheet'!G45</f>
        <v>40.98</v>
      </c>
      <c r="H8" s="6">
        <f>'Data Sheet'!H45</f>
        <v>41.75</v>
      </c>
      <c r="I8" s="6">
        <f>'Data Sheet'!I45</f>
        <v>42.71</v>
      </c>
      <c r="J8" s="6">
        <f>'Data Sheet'!J45</f>
        <v>46.41</v>
      </c>
      <c r="K8" s="6">
        <f>'Data Sheet'!K45</f>
        <v>57.44</v>
      </c>
    </row>
    <row r="9" spans="1:11" x14ac:dyDescent="0.3">
      <c r="A9" t="s">
        <v>11</v>
      </c>
      <c r="B9" s="6">
        <f>'Data Sheet'!B46</f>
        <v>167.68</v>
      </c>
      <c r="C9" s="6">
        <f>'Data Sheet'!C46</f>
        <v>207.82</v>
      </c>
      <c r="D9" s="6">
        <f>'Data Sheet'!D46</f>
        <v>172.72</v>
      </c>
      <c r="E9" s="6">
        <f>'Data Sheet'!E46</f>
        <v>206.44</v>
      </c>
      <c r="F9" s="6">
        <f>'Data Sheet'!F46</f>
        <v>289.83999999999997</v>
      </c>
      <c r="G9" s="6">
        <f>'Data Sheet'!G46</f>
        <v>339.58</v>
      </c>
      <c r="H9" s="6">
        <f>'Data Sheet'!H46</f>
        <v>349.63</v>
      </c>
      <c r="I9" s="6">
        <f>'Data Sheet'!I46</f>
        <v>469.8</v>
      </c>
      <c r="J9" s="6">
        <f>'Data Sheet'!J46</f>
        <v>519.52</v>
      </c>
      <c r="K9" s="6">
        <f>'Data Sheet'!K46</f>
        <v>408.55</v>
      </c>
    </row>
    <row r="10" spans="1:11" x14ac:dyDescent="0.3">
      <c r="A10" t="s">
        <v>12</v>
      </c>
      <c r="B10" s="6">
        <f>'Data Sheet'!B47</f>
        <v>964.23</v>
      </c>
      <c r="C10" s="6">
        <f>'Data Sheet'!C47</f>
        <v>1037.9100000000001</v>
      </c>
      <c r="D10" s="6">
        <f>'Data Sheet'!D47</f>
        <v>817.59</v>
      </c>
      <c r="E10" s="6">
        <f>'Data Sheet'!E47</f>
        <v>846.62</v>
      </c>
      <c r="F10" s="6">
        <f>'Data Sheet'!F47</f>
        <v>723.98</v>
      </c>
      <c r="G10" s="6">
        <f>'Data Sheet'!G47</f>
        <v>4502.93</v>
      </c>
      <c r="H10" s="6">
        <f>'Data Sheet'!H47</f>
        <v>680.35</v>
      </c>
      <c r="I10" s="6">
        <f>'Data Sheet'!I47</f>
        <v>4425.22</v>
      </c>
      <c r="J10" s="6">
        <f>'Data Sheet'!J47</f>
        <v>6425.9</v>
      </c>
      <c r="K10" s="6">
        <f>'Data Sheet'!K47</f>
        <v>628</v>
      </c>
    </row>
    <row r="11" spans="1:11" x14ac:dyDescent="0.3">
      <c r="A11" t="s">
        <v>13</v>
      </c>
      <c r="B11" s="6">
        <f>'Data Sheet'!B48</f>
        <v>245.77</v>
      </c>
      <c r="C11" s="6">
        <f>'Data Sheet'!C48</f>
        <v>261.2</v>
      </c>
      <c r="D11" s="6">
        <f>'Data Sheet'!D48</f>
        <v>215.33</v>
      </c>
      <c r="E11" s="6">
        <f>'Data Sheet'!E48</f>
        <v>218.63</v>
      </c>
      <c r="F11" s="6">
        <f>'Data Sheet'!F48</f>
        <v>189.39</v>
      </c>
      <c r="G11" s="6">
        <f>'Data Sheet'!G48</f>
        <v>227.54</v>
      </c>
      <c r="H11" s="6">
        <f>'Data Sheet'!H48</f>
        <v>176.31</v>
      </c>
      <c r="I11" s="6">
        <f>'Data Sheet'!I48</f>
        <v>190.76</v>
      </c>
      <c r="J11" s="6">
        <f>'Data Sheet'!J48</f>
        <v>129.91</v>
      </c>
      <c r="K11" s="6">
        <f>'Data Sheet'!K48</f>
        <v>284.44</v>
      </c>
    </row>
    <row r="12" spans="1:11" s="2" customFormat="1" x14ac:dyDescent="0.3">
      <c r="A12" s="2" t="s">
        <v>14</v>
      </c>
      <c r="B12" s="1">
        <f>'Data Sheet'!B49</f>
        <v>718.46</v>
      </c>
      <c r="C12" s="1">
        <f>'Data Sheet'!C49</f>
        <v>776.71</v>
      </c>
      <c r="D12" s="1">
        <f>'Data Sheet'!D49</f>
        <v>602.26</v>
      </c>
      <c r="E12" s="1">
        <f>'Data Sheet'!E49</f>
        <v>627.99</v>
      </c>
      <c r="F12" s="1">
        <f>'Data Sheet'!F49</f>
        <v>534.59</v>
      </c>
      <c r="G12" s="1">
        <f>'Data Sheet'!G49</f>
        <v>4275.3900000000003</v>
      </c>
      <c r="H12" s="1">
        <f>'Data Sheet'!H49</f>
        <v>504.04</v>
      </c>
      <c r="I12" s="1">
        <f>'Data Sheet'!I49</f>
        <v>4234.46</v>
      </c>
      <c r="J12" s="1">
        <f>'Data Sheet'!J49</f>
        <v>6295.99</v>
      </c>
      <c r="K12" s="1">
        <f>'Data Sheet'!K49</f>
        <v>343.56</v>
      </c>
    </row>
    <row r="14" spans="1:11" s="2" customFormat="1" x14ac:dyDescent="0.3">
      <c r="A14" s="2" t="s">
        <v>18</v>
      </c>
      <c r="B14" s="10">
        <f>IF(B4&gt;0,B6/B4,"")</f>
        <v>9.9159756757809206E-2</v>
      </c>
      <c r="C14" s="10">
        <f t="shared" ref="C14:K14" si="0">IF(C4&gt;0,C6/C4,"")</f>
        <v>0.10154090365226304</v>
      </c>
      <c r="D14" s="10">
        <f t="shared" si="0"/>
        <v>9.1082267730666924E-2</v>
      </c>
      <c r="E14" s="10">
        <f t="shared" si="0"/>
        <v>0.1121191695056263</v>
      </c>
      <c r="F14" s="10">
        <f t="shared" si="0"/>
        <v>0.10153392368713414</v>
      </c>
      <c r="G14" s="10">
        <f t="shared" si="0"/>
        <v>8.4229992456870337E-2</v>
      </c>
      <c r="H14" s="10">
        <f t="shared" si="0"/>
        <v>9.8602695894887335E-2</v>
      </c>
      <c r="I14" s="10">
        <f t="shared" si="0"/>
        <v>0.1314692988948826</v>
      </c>
      <c r="J14" s="10">
        <f t="shared" si="0"/>
        <v>8.9361565741025301E-2</v>
      </c>
      <c r="K14" s="10">
        <f t="shared" si="0"/>
        <v>2.569279656039283E-2</v>
      </c>
    </row>
    <row r="22" s="23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ADANI ENTERPRISES LTD</v>
      </c>
      <c r="E1" t="str">
        <f>UPDATE</f>
        <v/>
      </c>
      <c r="G1"/>
      <c r="J1" s="2" t="s">
        <v>1</v>
      </c>
    </row>
    <row r="2" spans="1:11" x14ac:dyDescent="0.3">
      <c r="G2" s="2"/>
      <c r="H2" s="2"/>
    </row>
    <row r="3" spans="1:11" x14ac:dyDescent="0.3">
      <c r="A3" s="11" t="s">
        <v>2</v>
      </c>
      <c r="B3" s="12">
        <f>'Data Sheet'!B56</f>
        <v>42825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</row>
    <row r="4" spans="1:11" x14ac:dyDescent="0.3">
      <c r="A4" t="s">
        <v>24</v>
      </c>
      <c r="B4" s="14">
        <f>'Data Sheet'!B57</f>
        <v>109.98</v>
      </c>
      <c r="C4" s="14">
        <f>'Data Sheet'!C57</f>
        <v>109.98</v>
      </c>
      <c r="D4" s="14">
        <f>'Data Sheet'!D57</f>
        <v>109.98</v>
      </c>
      <c r="E4" s="14">
        <f>'Data Sheet'!E57</f>
        <v>109.98</v>
      </c>
      <c r="F4" s="14">
        <f>'Data Sheet'!F57</f>
        <v>109.98</v>
      </c>
      <c r="G4" s="14">
        <f>'Data Sheet'!G57</f>
        <v>109.98</v>
      </c>
      <c r="H4" s="14">
        <f>'Data Sheet'!H57</f>
        <v>114</v>
      </c>
      <c r="I4" s="14">
        <f>'Data Sheet'!I57</f>
        <v>114</v>
      </c>
      <c r="J4" s="14">
        <f>'Data Sheet'!J57</f>
        <v>115.42</v>
      </c>
      <c r="K4" s="14">
        <f>'Data Sheet'!K57</f>
        <v>129.24</v>
      </c>
    </row>
    <row r="5" spans="1:11" x14ac:dyDescent="0.3">
      <c r="A5" t="s">
        <v>25</v>
      </c>
      <c r="B5" s="14">
        <f>'Data Sheet'!B58</f>
        <v>3657.2</v>
      </c>
      <c r="C5" s="14">
        <f>'Data Sheet'!C58</f>
        <v>3798.42</v>
      </c>
      <c r="D5" s="14">
        <f>'Data Sheet'!D58</f>
        <v>3138.84</v>
      </c>
      <c r="E5" s="14">
        <f>'Data Sheet'!E58</f>
        <v>3651.02</v>
      </c>
      <c r="F5" s="14">
        <f>'Data Sheet'!F58</f>
        <v>4018.01</v>
      </c>
      <c r="G5" s="14">
        <f>'Data Sheet'!G58</f>
        <v>5130.68</v>
      </c>
      <c r="H5" s="14">
        <f>'Data Sheet'!H58</f>
        <v>13819.78</v>
      </c>
      <c r="I5" s="14">
        <f>'Data Sheet'!I58</f>
        <v>16525.54</v>
      </c>
      <c r="J5" s="14">
        <f>'Data Sheet'!J58</f>
        <v>26583.47</v>
      </c>
      <c r="K5" s="14">
        <f>'Data Sheet'!K58</f>
        <v>62649.75</v>
      </c>
    </row>
    <row r="6" spans="1:11" x14ac:dyDescent="0.3">
      <c r="A6" t="s">
        <v>71</v>
      </c>
      <c r="B6" s="14">
        <f>'Data Sheet'!B59</f>
        <v>7212.83</v>
      </c>
      <c r="C6" s="14">
        <f>'Data Sheet'!C59</f>
        <v>6682.71</v>
      </c>
      <c r="D6" s="14">
        <f>'Data Sheet'!D59</f>
        <v>2865.37</v>
      </c>
      <c r="E6" s="14">
        <f>'Data Sheet'!E59</f>
        <v>3011.63</v>
      </c>
      <c r="F6" s="14">
        <f>'Data Sheet'!F59</f>
        <v>2918.87</v>
      </c>
      <c r="G6" s="14">
        <f>'Data Sheet'!G59</f>
        <v>4410.57</v>
      </c>
      <c r="H6" s="14">
        <f>'Data Sheet'!H59</f>
        <v>3106.05</v>
      </c>
      <c r="I6" s="14">
        <f>'Data Sheet'!I59</f>
        <v>5893.24</v>
      </c>
      <c r="J6" s="14">
        <f>'Data Sheet'!J59</f>
        <v>12829.13</v>
      </c>
      <c r="K6" s="14">
        <f>'Data Sheet'!K59</f>
        <v>11008.1</v>
      </c>
    </row>
    <row r="7" spans="1:11" x14ac:dyDescent="0.3">
      <c r="A7" t="s">
        <v>72</v>
      </c>
      <c r="B7" s="14">
        <f>'Data Sheet'!B60</f>
        <v>3678.27</v>
      </c>
      <c r="C7" s="14">
        <f>'Data Sheet'!C60</f>
        <v>4819.55</v>
      </c>
      <c r="D7" s="14">
        <f>'Data Sheet'!D60</f>
        <v>8559.2999999999993</v>
      </c>
      <c r="E7" s="14">
        <f>'Data Sheet'!E60</f>
        <v>7112.94</v>
      </c>
      <c r="F7" s="14">
        <f>'Data Sheet'!F60</f>
        <v>5945.4</v>
      </c>
      <c r="G7" s="14">
        <f>'Data Sheet'!G60</f>
        <v>12000.65</v>
      </c>
      <c r="H7" s="14">
        <f>'Data Sheet'!H60</f>
        <v>23097.439999999999</v>
      </c>
      <c r="I7" s="14">
        <f>'Data Sheet'!I60</f>
        <v>19647.59</v>
      </c>
      <c r="J7" s="14">
        <f>'Data Sheet'!J60</f>
        <v>10810.11</v>
      </c>
      <c r="K7" s="14">
        <f>'Data Sheet'!K60</f>
        <v>8437.9500000000007</v>
      </c>
    </row>
    <row r="8" spans="1:11" s="2" customFormat="1" x14ac:dyDescent="0.3">
      <c r="A8" s="2" t="s">
        <v>26</v>
      </c>
      <c r="B8" s="15">
        <f>'Data Sheet'!B61</f>
        <v>14658.28</v>
      </c>
      <c r="C8" s="15">
        <f>'Data Sheet'!C61</f>
        <v>15410.66</v>
      </c>
      <c r="D8" s="15">
        <f>'Data Sheet'!D61</f>
        <v>14673.49</v>
      </c>
      <c r="E8" s="15">
        <f>'Data Sheet'!E61</f>
        <v>13885.57</v>
      </c>
      <c r="F8" s="15">
        <f>'Data Sheet'!F61</f>
        <v>12992.26</v>
      </c>
      <c r="G8" s="15">
        <f>'Data Sheet'!G61</f>
        <v>21651.88</v>
      </c>
      <c r="H8" s="15">
        <f>'Data Sheet'!H61</f>
        <v>40137.269999999997</v>
      </c>
      <c r="I8" s="15">
        <f>'Data Sheet'!I61</f>
        <v>42180.37</v>
      </c>
      <c r="J8" s="15">
        <f>'Data Sheet'!J61</f>
        <v>50338.13</v>
      </c>
      <c r="K8" s="15">
        <f>'Data Sheet'!K61</f>
        <v>82225.039999999994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27</v>
      </c>
      <c r="B10" s="14">
        <f>'Data Sheet'!B62</f>
        <v>1171.3800000000001</v>
      </c>
      <c r="C10" s="14">
        <f>'Data Sheet'!C62</f>
        <v>1262.77</v>
      </c>
      <c r="D10" s="14">
        <f>'Data Sheet'!D62</f>
        <v>1557.67</v>
      </c>
      <c r="E10" s="14">
        <f>'Data Sheet'!E62</f>
        <v>1528.14</v>
      </c>
      <c r="F10" s="14">
        <f>'Data Sheet'!F62</f>
        <v>1427.79</v>
      </c>
      <c r="G10" s="14">
        <f>'Data Sheet'!G62</f>
        <v>1683.41</v>
      </c>
      <c r="H10" s="14">
        <f>'Data Sheet'!H62</f>
        <v>1667.72</v>
      </c>
      <c r="I10" s="14">
        <f>'Data Sheet'!I62</f>
        <v>1540.17</v>
      </c>
      <c r="J10" s="14">
        <f>'Data Sheet'!J62</f>
        <v>1966.3</v>
      </c>
      <c r="K10" s="14">
        <f>'Data Sheet'!K62</f>
        <v>2452.66</v>
      </c>
    </row>
    <row r="11" spans="1:11" x14ac:dyDescent="0.3">
      <c r="A11" t="s">
        <v>28</v>
      </c>
      <c r="B11" s="14">
        <f>'Data Sheet'!B63</f>
        <v>621.6</v>
      </c>
      <c r="C11" s="14">
        <f>'Data Sheet'!C63</f>
        <v>413.9</v>
      </c>
      <c r="D11" s="14">
        <f>'Data Sheet'!D63</f>
        <v>211.39</v>
      </c>
      <c r="E11" s="14">
        <f>'Data Sheet'!E63</f>
        <v>219.61</v>
      </c>
      <c r="F11" s="14">
        <f>'Data Sheet'!F63</f>
        <v>453.12</v>
      </c>
      <c r="G11" s="14">
        <f>'Data Sheet'!G63</f>
        <v>511.44</v>
      </c>
      <c r="H11" s="14">
        <f>'Data Sheet'!H63</f>
        <v>649.28</v>
      </c>
      <c r="I11" s="14">
        <f>'Data Sheet'!I63</f>
        <v>752.34</v>
      </c>
      <c r="J11" s="14">
        <f>'Data Sheet'!J63</f>
        <v>590.71</v>
      </c>
      <c r="K11" s="14">
        <f>'Data Sheet'!K63</f>
        <v>1082.76</v>
      </c>
    </row>
    <row r="12" spans="1:11" x14ac:dyDescent="0.3">
      <c r="A12" t="s">
        <v>29</v>
      </c>
      <c r="B12" s="14">
        <f>'Data Sheet'!B64</f>
        <v>3091.2</v>
      </c>
      <c r="C12" s="14">
        <f>'Data Sheet'!C64</f>
        <v>3008.97</v>
      </c>
      <c r="D12" s="14">
        <f>'Data Sheet'!D64</f>
        <v>1944.24</v>
      </c>
      <c r="E12" s="14">
        <f>'Data Sheet'!E64</f>
        <v>2274.91</v>
      </c>
      <c r="F12" s="14">
        <f>'Data Sheet'!F64</f>
        <v>2465.31</v>
      </c>
      <c r="G12" s="14">
        <f>'Data Sheet'!G64</f>
        <v>3437.35</v>
      </c>
      <c r="H12" s="14">
        <f>'Data Sheet'!H64</f>
        <v>9947.99</v>
      </c>
      <c r="I12" s="14">
        <f>'Data Sheet'!I64</f>
        <v>14070.99</v>
      </c>
      <c r="J12" s="14">
        <f>'Data Sheet'!J64</f>
        <v>18838.240000000002</v>
      </c>
      <c r="K12" s="14">
        <f>'Data Sheet'!K64</f>
        <v>28275.19</v>
      </c>
    </row>
    <row r="13" spans="1:11" x14ac:dyDescent="0.3">
      <c r="A13" t="s">
        <v>73</v>
      </c>
      <c r="B13" s="14">
        <f>'Data Sheet'!B65</f>
        <v>9774.1</v>
      </c>
      <c r="C13" s="14">
        <f>'Data Sheet'!C65</f>
        <v>10725.02</v>
      </c>
      <c r="D13" s="14">
        <f>'Data Sheet'!D65</f>
        <v>10960.19</v>
      </c>
      <c r="E13" s="14">
        <f>'Data Sheet'!E65</f>
        <v>9862.91</v>
      </c>
      <c r="F13" s="14">
        <f>'Data Sheet'!F65</f>
        <v>8646.0400000000009</v>
      </c>
      <c r="G13" s="14">
        <f>'Data Sheet'!G65</f>
        <v>16019.68</v>
      </c>
      <c r="H13" s="14">
        <f>'Data Sheet'!H65</f>
        <v>27872.28</v>
      </c>
      <c r="I13" s="14">
        <f>'Data Sheet'!I65</f>
        <v>25816.87</v>
      </c>
      <c r="J13" s="14">
        <f>'Data Sheet'!J65</f>
        <v>28942.880000000001</v>
      </c>
      <c r="K13" s="14">
        <f>'Data Sheet'!K65</f>
        <v>50414.43</v>
      </c>
    </row>
    <row r="14" spans="1:11" s="2" customFormat="1" x14ac:dyDescent="0.3">
      <c r="A14" s="2" t="s">
        <v>26</v>
      </c>
      <c r="B14" s="14">
        <f>'Data Sheet'!B66</f>
        <v>14658.28</v>
      </c>
      <c r="C14" s="14">
        <f>'Data Sheet'!C66</f>
        <v>15410.66</v>
      </c>
      <c r="D14" s="14">
        <f>'Data Sheet'!D66</f>
        <v>14673.49</v>
      </c>
      <c r="E14" s="14">
        <f>'Data Sheet'!E66</f>
        <v>13885.57</v>
      </c>
      <c r="F14" s="14">
        <f>'Data Sheet'!F66</f>
        <v>12992.26</v>
      </c>
      <c r="G14" s="14">
        <f>'Data Sheet'!G66</f>
        <v>21651.88</v>
      </c>
      <c r="H14" s="14">
        <f>'Data Sheet'!H66</f>
        <v>40137.269999999997</v>
      </c>
      <c r="I14" s="14">
        <f>'Data Sheet'!I66</f>
        <v>42180.37</v>
      </c>
      <c r="J14" s="14">
        <f>'Data Sheet'!J66</f>
        <v>50338.13</v>
      </c>
      <c r="K14" s="14">
        <f>'Data Sheet'!K66</f>
        <v>82225.039999999994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30</v>
      </c>
      <c r="B16" s="4">
        <f>B13-B7</f>
        <v>6095.83</v>
      </c>
      <c r="C16" s="4">
        <f t="shared" ref="C16:K16" si="0">C13-C7</f>
        <v>5905.47</v>
      </c>
      <c r="D16" s="4">
        <f t="shared" si="0"/>
        <v>2400.8900000000012</v>
      </c>
      <c r="E16" s="4">
        <f t="shared" si="0"/>
        <v>2749.9700000000003</v>
      </c>
      <c r="F16" s="4">
        <f t="shared" si="0"/>
        <v>2700.6400000000012</v>
      </c>
      <c r="G16" s="4">
        <f t="shared" si="0"/>
        <v>4019.0300000000007</v>
      </c>
      <c r="H16" s="4">
        <f t="shared" si="0"/>
        <v>4774.84</v>
      </c>
      <c r="I16" s="4">
        <f t="shared" si="0"/>
        <v>6169.2799999999988</v>
      </c>
      <c r="J16" s="4">
        <f t="shared" si="0"/>
        <v>18132.77</v>
      </c>
      <c r="K16" s="4">
        <f t="shared" si="0"/>
        <v>41976.479999999996</v>
      </c>
    </row>
    <row r="17" spans="1:11" x14ac:dyDescent="0.3">
      <c r="A17" t="s">
        <v>44</v>
      </c>
      <c r="B17" s="4">
        <f>'Data Sheet'!B67</f>
        <v>2923.44</v>
      </c>
      <c r="C17" s="4">
        <f>'Data Sheet'!C67</f>
        <v>2635.37</v>
      </c>
      <c r="D17" s="4">
        <f>'Data Sheet'!D67</f>
        <v>5182.05</v>
      </c>
      <c r="E17" s="4">
        <f>'Data Sheet'!E67</f>
        <v>3846.48</v>
      </c>
      <c r="F17" s="4">
        <f>'Data Sheet'!F67</f>
        <v>2661.31</v>
      </c>
      <c r="G17" s="4">
        <f>'Data Sheet'!G67</f>
        <v>3516.19</v>
      </c>
      <c r="H17" s="4">
        <f>'Data Sheet'!H67</f>
        <v>4688.2700000000004</v>
      </c>
      <c r="I17" s="4">
        <f>'Data Sheet'!I67</f>
        <v>4220.82</v>
      </c>
      <c r="J17" s="4">
        <f>'Data Sheet'!J67</f>
        <v>2291.71</v>
      </c>
      <c r="K17" s="4">
        <f>'Data Sheet'!K67</f>
        <v>4107.5200000000004</v>
      </c>
    </row>
    <row r="18" spans="1:11" x14ac:dyDescent="0.3">
      <c r="A18" t="s">
        <v>45</v>
      </c>
      <c r="B18" s="4">
        <f>'Data Sheet'!B68</f>
        <v>594.55999999999995</v>
      </c>
      <c r="C18" s="4">
        <f>'Data Sheet'!C68</f>
        <v>1294.42</v>
      </c>
      <c r="D18" s="4">
        <f>'Data Sheet'!D68</f>
        <v>1901.88</v>
      </c>
      <c r="E18" s="4">
        <f>'Data Sheet'!E68</f>
        <v>1527.47</v>
      </c>
      <c r="F18" s="4">
        <f>'Data Sheet'!F68</f>
        <v>1099.19</v>
      </c>
      <c r="G18" s="4">
        <f>'Data Sheet'!G68</f>
        <v>4843.83</v>
      </c>
      <c r="H18" s="4">
        <f>'Data Sheet'!H68</f>
        <v>4085.46</v>
      </c>
      <c r="I18" s="4">
        <f>'Data Sheet'!I68</f>
        <v>3006.61</v>
      </c>
      <c r="J18" s="4">
        <f>'Data Sheet'!J68</f>
        <v>1896.94</v>
      </c>
      <c r="K18" s="4">
        <f>'Data Sheet'!K68</f>
        <v>2065.9299999999998</v>
      </c>
    </row>
    <row r="20" spans="1:11" x14ac:dyDescent="0.3">
      <c r="A20" t="s">
        <v>46</v>
      </c>
      <c r="B20" s="4">
        <f>IF('Profit &amp; Loss'!B4&gt;0,'Balance Sheet'!B17/('Profit &amp; Loss'!B4/365),0)</f>
        <v>137.98067336749699</v>
      </c>
      <c r="C20" s="4">
        <f>IF('Profit &amp; Loss'!C4&gt;0,'Balance Sheet'!C17/('Profit &amp; Loss'!C4/365),0)</f>
        <v>101.12159274043066</v>
      </c>
      <c r="D20" s="4">
        <f>IF('Profit &amp; Loss'!D4&gt;0,'Balance Sheet'!D17/('Profit &amp; Loss'!D4/365),0)</f>
        <v>122.32961343689973</v>
      </c>
      <c r="E20" s="4">
        <f>IF('Profit &amp; Loss'!E4&gt;0,'Balance Sheet'!E17/('Profit &amp; Loss'!E4/365),0)</f>
        <v>87.19522525991529</v>
      </c>
      <c r="F20" s="4">
        <f>IF('Profit &amp; Loss'!F4&gt;0,'Balance Sheet'!F17/('Profit &amp; Loss'!F4/365),0)</f>
        <v>73.21436297021539</v>
      </c>
      <c r="G20" s="4">
        <f>IF('Profit &amp; Loss'!G4&gt;0,'Balance Sheet'!G17/('Profit &amp; Loss'!G4/365),0)</f>
        <v>47.877475367565324</v>
      </c>
      <c r="H20" s="4">
        <f>IF('Profit &amp; Loss'!H4&gt;0,'Balance Sheet'!H17/('Profit &amp; Loss'!H4/365),0)</f>
        <v>29.583454709124254</v>
      </c>
      <c r="I20" s="4">
        <f>IF('Profit &amp; Loss'!I4&gt;0,'Balance Sheet'!I17/('Profit &amp; Loss'!I4/365),0)</f>
        <v>48.267020194709865</v>
      </c>
      <c r="J20" s="4">
        <f>IF('Profit &amp; Loss'!J4&gt;0,'Balance Sheet'!J17/('Profit &amp; Loss'!J4/365),0)</f>
        <v>31.446834034909504</v>
      </c>
      <c r="K20" s="4">
        <f>IF('Profit &amp; Loss'!K4&gt;0,'Balance Sheet'!K17/('Profit &amp; Loss'!K4/365),0)</f>
        <v>65.42146756667951</v>
      </c>
    </row>
    <row r="21" spans="1:11" x14ac:dyDescent="0.3">
      <c r="A21" t="s">
        <v>47</v>
      </c>
      <c r="B21" s="4">
        <f>IF('Balance Sheet'!B18&gt;0,'Profit &amp; Loss'!B4/'Balance Sheet'!B18,0)</f>
        <v>13.006879036598495</v>
      </c>
      <c r="C21" s="4">
        <f>IF('Balance Sheet'!C18&gt;0,'Profit &amp; Loss'!C4/'Balance Sheet'!C18,0)</f>
        <v>7.3487816937315547</v>
      </c>
      <c r="D21" s="4">
        <f>IF('Balance Sheet'!D18&gt;0,'Profit &amp; Loss'!D4/'Balance Sheet'!D18,0)</f>
        <v>8.1297978841987923</v>
      </c>
      <c r="E21" s="4">
        <f>IF('Balance Sheet'!E18&gt;0,'Profit &amp; Loss'!E4/'Balance Sheet'!E18,0)</f>
        <v>10.541221758856148</v>
      </c>
      <c r="F21" s="4">
        <f>IF('Balance Sheet'!F18&gt;0,'Profit &amp; Loss'!F4/'Balance Sheet'!F18,0)</f>
        <v>12.070333609294115</v>
      </c>
      <c r="G21" s="4">
        <f>IF('Balance Sheet'!G18&gt;0,'Profit &amp; Loss'!G4/'Balance Sheet'!G18,0)</f>
        <v>5.5340753081755549</v>
      </c>
      <c r="H21" s="4">
        <f>IF('Balance Sheet'!H18&gt;0,'Profit &amp; Loss'!H4/'Balance Sheet'!H18,0)</f>
        <v>14.158447273991177</v>
      </c>
      <c r="I21" s="4">
        <f>IF('Balance Sheet'!I18&gt;0,'Profit &amp; Loss'!I4/'Balance Sheet'!I18,0)</f>
        <v>10.616029348668432</v>
      </c>
      <c r="J21" s="4">
        <f>IF('Balance Sheet'!J18&gt;0,'Profit &amp; Loss'!J4/'Balance Sheet'!J18,0)</f>
        <v>14.022388689152002</v>
      </c>
      <c r="K21" s="4">
        <f>IF('Balance Sheet'!K18&gt;0,'Profit &amp; Loss'!K4/'Balance Sheet'!K18,0)</f>
        <v>11.092684650496388</v>
      </c>
    </row>
    <row r="23" spans="1:11" s="2" customFormat="1" x14ac:dyDescent="0.3">
      <c r="A23" s="2" t="s">
        <v>59</v>
      </c>
      <c r="B23" s="10">
        <f>IF(SUM('Balance Sheet'!B4:B5)&gt;0,'Profit &amp; Loss'!B12/SUM('Balance Sheet'!B4:B5),"")</f>
        <v>5.8834459728497178E-2</v>
      </c>
      <c r="C23" s="10">
        <f>IF(SUM('Balance Sheet'!C4:C5)&gt;0,'Profit &amp; Loss'!C12/SUM('Balance Sheet'!C4:C5),"")</f>
        <v>5.0411933271927133E-2</v>
      </c>
      <c r="D23" s="10">
        <f>IF(SUM('Balance Sheet'!D4:D5)&gt;0,'Profit &amp; Loss'!D12/SUM('Balance Sheet'!D4:D5),"")</f>
        <v>0.14997445226266767</v>
      </c>
      <c r="E23" s="10">
        <f>IF(SUM('Balance Sheet'!E4:E5)&gt;0,'Profit &amp; Loss'!E12/SUM('Balance Sheet'!E4:E5),"")</f>
        <v>0.18582557830364266</v>
      </c>
      <c r="F23" s="10">
        <f>IF(SUM('Balance Sheet'!F4:F5)&gt;0,'Profit &amp; Loss'!F12/SUM('Balance Sheet'!F4:F5),"")</f>
        <v>8.9343724185378365E-2</v>
      </c>
      <c r="G23" s="10">
        <f>IF(SUM('Balance Sheet'!G4:G5)&gt;0,'Profit &amp; Loss'!G12/SUM('Balance Sheet'!G4:G5),"")</f>
        <v>0.13752084661092306</v>
      </c>
      <c r="H23" s="10">
        <f>IF(SUM('Balance Sheet'!H4:H5)&gt;0,'Profit &amp; Loss'!H12/SUM('Balance Sheet'!H4:H5),"")</f>
        <v>0.11646014218682942</v>
      </c>
      <c r="I23" s="10">
        <f>IF(SUM('Balance Sheet'!I4:I5)&gt;0,'Profit &amp; Loss'!I12/SUM('Balance Sheet'!I4:I5),"")</f>
        <v>0.17093381187220319</v>
      </c>
      <c r="J23" s="10">
        <f>IF(SUM('Balance Sheet'!J4:J5)&gt;0,'Profit &amp; Loss'!J12/SUM('Balance Sheet'!J4:J5),"")</f>
        <v>0.22623524798221947</v>
      </c>
      <c r="K23" s="10">
        <f>IF(SUM('Balance Sheet'!K4:K5)&gt;0,'Profit &amp; Loss'!K12/SUM('Balance Sheet'!K4:K5),"")</f>
        <v>0.18123993393331111</v>
      </c>
    </row>
    <row r="24" spans="1:11" s="2" customFormat="1" x14ac:dyDescent="0.3">
      <c r="A24" s="2" t="s">
        <v>60</v>
      </c>
      <c r="B24" s="10"/>
      <c r="C24" s="10">
        <f>IF((B4+B5+B6+C4+C5+C6)&gt;0,('Profit &amp; Loss'!C10+'Profit &amp; Loss'!C9)*2/(B4+B5+B6+C4+C5+C6),"")</f>
        <v>8.8992133927213807E-2</v>
      </c>
      <c r="D24" s="10">
        <f>IF((C4+C5+C6+D4+D5+D6)&gt;0,('Profit &amp; Loss'!D10+'Profit &amp; Loss'!D9)*2/(C4+C5+C6+D4+D5+D6),"")</f>
        <v>0.14493603826330564</v>
      </c>
      <c r="E24" s="10">
        <f>IF((D4+D5+D6+E4+E5+E6)&gt;0,('Profit &amp; Loss'!E10+'Profit &amp; Loss'!E9)*2/(D4+D5+D6+E4+E5+E6),"")</f>
        <v>0.20960330011593239</v>
      </c>
      <c r="F24" s="10">
        <f>IF((E4+E5+E6+F4+F5+F6)&gt;0,('Profit &amp; Loss'!F10+'Profit &amp; Loss'!F9)*2/(E4+E5+E6+F4+F5+F6),"")</f>
        <v>0.15357875001175877</v>
      </c>
      <c r="G24" s="10">
        <f>IF((F4+F5+F6+G4+G5+G6)&gt;0,('Profit &amp; Loss'!G10+'Profit &amp; Loss'!G9)*2/(F4+F5+F6+G4+G5+G6),"")</f>
        <v>0.20176918437977037</v>
      </c>
      <c r="H24" s="10">
        <f>IF((G4+G5+G6+H4+H5+H6)&gt;0,('Profit &amp; Loss'!H10+'Profit &amp; Loss'!H9)*2/(G4+G5+G6+H4+H5+H6),"")</f>
        <v>0.21541669757589244</v>
      </c>
      <c r="I24" s="10">
        <f>IF((H4+H5+H6+I4+I5+I6)&gt;0,('Profit &amp; Loss'!I10+'Profit &amp; Loss'!I9)*2/(H4+H5+H6+I4+I5+I6),"")</f>
        <v>0.22413532996686342</v>
      </c>
      <c r="J24" s="10">
        <f>IF((I4+I5+I6+J4+J5+J6)&gt;0,('Profit &amp; Loss'!J10+'Profit &amp; Loss'!J9)*2/(I4+I5+I6+J4+J5+J6),"")</f>
        <v>0.25457905795606889</v>
      </c>
      <c r="K24" s="10">
        <f>IF((J4+J5+J6+K4+K5+K6)&gt;0,('Profit &amp; Loss'!K10+'Profit &amp; Loss'!K9)*2/(J4+J5+J6+K4+K5+K6),"")</f>
        <v>0.24545693862010107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ADANI ENTERPRISES LTD</v>
      </c>
      <c r="E1" t="str">
        <f>UPDATE</f>
        <v/>
      </c>
      <c r="F1"/>
      <c r="J1" s="2" t="s">
        <v>1</v>
      </c>
    </row>
    <row r="3" spans="1:11" s="2" customFormat="1" x14ac:dyDescent="0.3">
      <c r="A3" s="11" t="s">
        <v>2</v>
      </c>
      <c r="B3" s="12">
        <f>'Data Sheet'!B81</f>
        <v>42825</v>
      </c>
      <c r="C3" s="12">
        <f>'Data Sheet'!C81</f>
        <v>43190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</row>
    <row r="4" spans="1:11" s="2" customFormat="1" x14ac:dyDescent="0.3">
      <c r="A4" s="2" t="s">
        <v>32</v>
      </c>
      <c r="B4" s="1">
        <f>'Data Sheet'!B82</f>
        <v>-156.13</v>
      </c>
      <c r="C4" s="1">
        <f>'Data Sheet'!C82</f>
        <v>986.12</v>
      </c>
      <c r="D4" s="1">
        <f>'Data Sheet'!D82</f>
        <v>1907.96</v>
      </c>
      <c r="E4" s="1">
        <f>'Data Sheet'!E82</f>
        <v>601.38</v>
      </c>
      <c r="F4" s="1">
        <f>'Data Sheet'!F82</f>
        <v>1557.26</v>
      </c>
      <c r="G4" s="1">
        <f>'Data Sheet'!G82</f>
        <v>2105.0100000000002</v>
      </c>
      <c r="H4" s="1">
        <f>'Data Sheet'!H82</f>
        <v>11187.32</v>
      </c>
      <c r="I4" s="1">
        <f>'Data Sheet'!I82</f>
        <v>507.88</v>
      </c>
      <c r="J4" s="1">
        <f>'Data Sheet'!J82</f>
        <v>-3731.64</v>
      </c>
      <c r="K4" s="1">
        <f>'Data Sheet'!K82</f>
        <v>-3240.15</v>
      </c>
    </row>
    <row r="5" spans="1:11" x14ac:dyDescent="0.3">
      <c r="A5" t="s">
        <v>33</v>
      </c>
      <c r="B5" s="6">
        <f>'Data Sheet'!B83</f>
        <v>645.69000000000005</v>
      </c>
      <c r="C5" s="6">
        <f>'Data Sheet'!C83</f>
        <v>171.64</v>
      </c>
      <c r="D5" s="6">
        <f>'Data Sheet'!D83</f>
        <v>2396.77</v>
      </c>
      <c r="E5" s="6">
        <f>'Data Sheet'!E83</f>
        <v>91.27</v>
      </c>
      <c r="F5" s="6">
        <f>'Data Sheet'!F83</f>
        <v>-1317.55</v>
      </c>
      <c r="G5" s="6">
        <f>'Data Sheet'!G83</f>
        <v>-3125.86</v>
      </c>
      <c r="H5" s="6">
        <f>'Data Sheet'!H83</f>
        <v>-16008.75</v>
      </c>
      <c r="I5" s="6">
        <f>'Data Sheet'!I83</f>
        <v>-2465.88</v>
      </c>
      <c r="J5" s="6">
        <f>'Data Sheet'!J83</f>
        <v>-6417.87</v>
      </c>
      <c r="K5" s="6">
        <f>'Data Sheet'!K83</f>
        <v>-15490.93</v>
      </c>
    </row>
    <row r="6" spans="1:11" x14ac:dyDescent="0.3">
      <c r="A6" t="s">
        <v>34</v>
      </c>
      <c r="B6" s="6">
        <f>'Data Sheet'!B84</f>
        <v>-308.26</v>
      </c>
      <c r="C6" s="6">
        <f>'Data Sheet'!C84</f>
        <v>-1144.74</v>
      </c>
      <c r="D6" s="6">
        <f>'Data Sheet'!D84</f>
        <v>-4436.8500000000004</v>
      </c>
      <c r="E6" s="6">
        <f>'Data Sheet'!E84</f>
        <v>-422.4</v>
      </c>
      <c r="F6" s="6">
        <f>'Data Sheet'!F84</f>
        <v>-632.09</v>
      </c>
      <c r="G6" s="6">
        <f>'Data Sheet'!G84</f>
        <v>1065.74</v>
      </c>
      <c r="H6" s="6">
        <f>'Data Sheet'!H84</f>
        <v>5110.32</v>
      </c>
      <c r="I6" s="6">
        <f>'Data Sheet'!I84</f>
        <v>2099.5700000000002</v>
      </c>
      <c r="J6" s="6">
        <f>'Data Sheet'!J84</f>
        <v>9940.9500000000007</v>
      </c>
      <c r="K6" s="6">
        <f>'Data Sheet'!K84</f>
        <v>21005.78</v>
      </c>
    </row>
    <row r="7" spans="1:11" s="2" customFormat="1" x14ac:dyDescent="0.3">
      <c r="A7" s="2" t="s">
        <v>35</v>
      </c>
      <c r="B7" s="1">
        <f>'Data Sheet'!B85</f>
        <v>181.3</v>
      </c>
      <c r="C7" s="1">
        <f>'Data Sheet'!C85</f>
        <v>13.02</v>
      </c>
      <c r="D7" s="1">
        <f>'Data Sheet'!D85</f>
        <v>-132.12</v>
      </c>
      <c r="E7" s="1">
        <f>'Data Sheet'!E85</f>
        <v>270.25</v>
      </c>
      <c r="F7" s="1">
        <f>'Data Sheet'!F85</f>
        <v>-392.38</v>
      </c>
      <c r="G7" s="1">
        <f>'Data Sheet'!G85</f>
        <v>44.89</v>
      </c>
      <c r="H7" s="1">
        <f>'Data Sheet'!H85</f>
        <v>288.89</v>
      </c>
      <c r="I7" s="1">
        <f>'Data Sheet'!I85</f>
        <v>141.57</v>
      </c>
      <c r="J7" s="1">
        <f>'Data Sheet'!J85</f>
        <v>-208.56</v>
      </c>
      <c r="K7" s="1">
        <f>'Data Sheet'!K85</f>
        <v>2274.6999999999998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2"/>
    <col min="2" max="2" width="10.44140625" customWidth="1"/>
    <col min="3" max="3" width="13.33203125" style="20" customWidth="1"/>
    <col min="6" max="6" width="6.77734375" customWidth="1"/>
  </cols>
  <sheetData>
    <row r="1" spans="1:7" ht="21" x14ac:dyDescent="0.4">
      <c r="A1" s="19" t="s">
        <v>56</v>
      </c>
    </row>
    <row r="3" spans="1:7" x14ac:dyDescent="0.3">
      <c r="A3" s="2" t="s">
        <v>48</v>
      </c>
    </row>
    <row r="4" spans="1:7" x14ac:dyDescent="0.3">
      <c r="B4" t="s">
        <v>90</v>
      </c>
    </row>
    <row r="5" spans="1:7" x14ac:dyDescent="0.3">
      <c r="B5" t="s">
        <v>49</v>
      </c>
    </row>
    <row r="7" spans="1:7" x14ac:dyDescent="0.3">
      <c r="A7" s="2" t="s">
        <v>50</v>
      </c>
    </row>
    <row r="8" spans="1:7" x14ac:dyDescent="0.3">
      <c r="B8" t="s">
        <v>51</v>
      </c>
      <c r="C8" s="21" t="s">
        <v>91</v>
      </c>
    </row>
    <row r="10" spans="1:7" x14ac:dyDescent="0.3">
      <c r="A10" s="2" t="s">
        <v>52</v>
      </c>
    </row>
    <row r="11" spans="1:7" x14ac:dyDescent="0.3">
      <c r="B11" t="s">
        <v>53</v>
      </c>
    </row>
    <row r="14" spans="1:7" x14ac:dyDescent="0.3">
      <c r="A14" s="2" t="s">
        <v>54</v>
      </c>
    </row>
    <row r="15" spans="1:7" x14ac:dyDescent="0.3">
      <c r="B15" t="s">
        <v>55</v>
      </c>
    </row>
    <row r="16" spans="1:7" x14ac:dyDescent="0.3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95"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G37" sqref="G37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63</v>
      </c>
      <c r="E1" s="33" t="str">
        <f>IF(B2&lt;&gt;B3, "A NEW VERSION OF THE WORKSHEET IS AVAILABLE", "")</f>
        <v/>
      </c>
      <c r="F1" s="33"/>
      <c r="G1" s="33"/>
      <c r="H1" s="33"/>
      <c r="I1" s="33"/>
      <c r="J1" s="33"/>
      <c r="K1" s="33"/>
    </row>
    <row r="2" spans="1:11" x14ac:dyDescent="0.3">
      <c r="A2" s="1" t="s">
        <v>61</v>
      </c>
      <c r="B2" s="4">
        <v>2.1</v>
      </c>
      <c r="E2" s="34" t="s">
        <v>36</v>
      </c>
      <c r="F2" s="34"/>
      <c r="G2" s="34"/>
      <c r="H2" s="34"/>
      <c r="I2" s="34"/>
      <c r="J2" s="34"/>
      <c r="K2" s="34"/>
    </row>
    <row r="3" spans="1:11" x14ac:dyDescent="0.3">
      <c r="A3" s="1" t="s">
        <v>62</v>
      </c>
      <c r="B3" s="4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4" t="s">
        <v>42</v>
      </c>
      <c r="B6" s="4">
        <f>IF(B9&gt;0, B9/B8, 0)</f>
        <v>130.07503057480636</v>
      </c>
    </row>
    <row r="7" spans="1:11" x14ac:dyDescent="0.3">
      <c r="A7" s="4" t="s">
        <v>31</v>
      </c>
      <c r="B7">
        <v>1</v>
      </c>
    </row>
    <row r="8" spans="1:11" x14ac:dyDescent="0.3">
      <c r="A8" s="4" t="s">
        <v>43</v>
      </c>
      <c r="B8">
        <v>2943.6</v>
      </c>
    </row>
    <row r="9" spans="1:11" x14ac:dyDescent="0.3">
      <c r="A9" s="4" t="s">
        <v>79</v>
      </c>
      <c r="B9">
        <v>382888.86</v>
      </c>
    </row>
    <row r="15" spans="1:11" x14ac:dyDescent="0.3">
      <c r="A15" s="1" t="s">
        <v>37</v>
      </c>
    </row>
    <row r="16" spans="1:11" s="18" customFormat="1" x14ac:dyDescent="0.3">
      <c r="A16" s="17" t="s">
        <v>38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1" s="6" customFormat="1" x14ac:dyDescent="0.3">
      <c r="A17" s="6" t="s">
        <v>6</v>
      </c>
      <c r="B17">
        <v>7733.37</v>
      </c>
      <c r="C17">
        <v>9512.41</v>
      </c>
      <c r="D17">
        <v>15461.9</v>
      </c>
      <c r="E17">
        <v>16101.4</v>
      </c>
      <c r="F17">
        <v>13267.59</v>
      </c>
      <c r="G17">
        <v>26806.12</v>
      </c>
      <c r="H17">
        <v>57843.77</v>
      </c>
      <c r="I17">
        <v>31918.26</v>
      </c>
      <c r="J17">
        <v>26599.63</v>
      </c>
      <c r="K17">
        <v>22916.71</v>
      </c>
    </row>
    <row r="18" spans="1:11" s="6" customFormat="1" x14ac:dyDescent="0.3">
      <c r="A18" s="4" t="s">
        <v>80</v>
      </c>
      <c r="B18">
        <v>5962.23</v>
      </c>
      <c r="C18">
        <v>8494.2199999999993</v>
      </c>
      <c r="D18">
        <v>13230.36</v>
      </c>
      <c r="E18">
        <v>12303.72</v>
      </c>
      <c r="F18">
        <v>10125.040000000001</v>
      </c>
      <c r="G18">
        <v>26608.32</v>
      </c>
      <c r="H18">
        <v>47796.59</v>
      </c>
      <c r="I18">
        <v>21982.11</v>
      </c>
      <c r="J18">
        <v>17361.55</v>
      </c>
      <c r="K18">
        <v>15030.35</v>
      </c>
    </row>
    <row r="19" spans="1:11" s="6" customFormat="1" x14ac:dyDescent="0.3">
      <c r="A19" s="4" t="s">
        <v>81</v>
      </c>
      <c r="B19">
        <v>30.34</v>
      </c>
      <c r="C19">
        <v>730.06</v>
      </c>
      <c r="D19">
        <v>605.27</v>
      </c>
      <c r="E19">
        <v>-376.27</v>
      </c>
      <c r="F19">
        <v>-434.03</v>
      </c>
      <c r="G19">
        <v>3743.31</v>
      </c>
      <c r="H19">
        <v>-757.94</v>
      </c>
      <c r="I19">
        <v>-1087.5899999999999</v>
      </c>
      <c r="J19">
        <v>-1105.3599999999999</v>
      </c>
      <c r="K19">
        <v>168.75</v>
      </c>
    </row>
    <row r="20" spans="1:11" s="6" customFormat="1" x14ac:dyDescent="0.3">
      <c r="A20" s="4" t="s">
        <v>82</v>
      </c>
      <c r="B20">
        <v>22.04</v>
      </c>
      <c r="C20">
        <v>19.89</v>
      </c>
      <c r="D20">
        <v>30.37</v>
      </c>
      <c r="E20">
        <v>44.19</v>
      </c>
      <c r="F20">
        <v>34.4</v>
      </c>
      <c r="G20">
        <v>38.47</v>
      </c>
      <c r="H20">
        <v>43.38</v>
      </c>
      <c r="I20">
        <v>48.32</v>
      </c>
      <c r="J20">
        <v>50.9</v>
      </c>
      <c r="K20">
        <v>40.93</v>
      </c>
    </row>
    <row r="21" spans="1:11" s="6" customFormat="1" x14ac:dyDescent="0.3">
      <c r="A21" s="4" t="s">
        <v>83</v>
      </c>
      <c r="B21">
        <v>735.94</v>
      </c>
      <c r="C21">
        <v>697.9</v>
      </c>
      <c r="D21">
        <v>1046.1199999999999</v>
      </c>
      <c r="E21">
        <v>1823.98</v>
      </c>
      <c r="F21">
        <v>1081.3900000000001</v>
      </c>
      <c r="G21">
        <v>1710.32</v>
      </c>
      <c r="H21">
        <v>5380.52</v>
      </c>
      <c r="I21">
        <v>4225.26</v>
      </c>
      <c r="J21">
        <v>3704.29</v>
      </c>
      <c r="K21">
        <v>3658.52</v>
      </c>
    </row>
    <row r="22" spans="1:11" s="6" customFormat="1" x14ac:dyDescent="0.3">
      <c r="A22" s="4" t="s">
        <v>84</v>
      </c>
      <c r="B22">
        <v>247.07</v>
      </c>
      <c r="C22">
        <v>234.72</v>
      </c>
      <c r="D22">
        <v>239.36</v>
      </c>
      <c r="E22">
        <v>275.87</v>
      </c>
      <c r="F22">
        <v>312.36</v>
      </c>
      <c r="G22">
        <v>382.06</v>
      </c>
      <c r="H22">
        <v>652.29</v>
      </c>
      <c r="I22">
        <v>702.46</v>
      </c>
      <c r="J22">
        <v>839.67</v>
      </c>
      <c r="K22">
        <v>1010.37</v>
      </c>
    </row>
    <row r="23" spans="1:11" s="6" customFormat="1" x14ac:dyDescent="0.3">
      <c r="A23" s="4" t="s">
        <v>85</v>
      </c>
      <c r="B23">
        <v>162.88999999999999</v>
      </c>
      <c r="C23">
        <v>102.76</v>
      </c>
      <c r="D23">
        <v>201.74</v>
      </c>
      <c r="E23">
        <v>246.98</v>
      </c>
      <c r="F23">
        <v>261.58999999999997</v>
      </c>
      <c r="G23">
        <v>239.55</v>
      </c>
      <c r="H23">
        <v>427.36</v>
      </c>
      <c r="I23">
        <v>554.61</v>
      </c>
      <c r="J23">
        <v>592.78</v>
      </c>
      <c r="K23">
        <v>738.09</v>
      </c>
    </row>
    <row r="24" spans="1:11" s="6" customFormat="1" x14ac:dyDescent="0.3">
      <c r="A24" s="4" t="s">
        <v>86</v>
      </c>
      <c r="B24">
        <v>64.23</v>
      </c>
      <c r="C24">
        <v>80.89</v>
      </c>
      <c r="D24">
        <v>370.95</v>
      </c>
      <c r="E24">
        <v>284.45</v>
      </c>
      <c r="F24">
        <v>15.14</v>
      </c>
      <c r="G24">
        <v>264.63</v>
      </c>
      <c r="H24">
        <v>981.83</v>
      </c>
      <c r="I24">
        <v>379.31</v>
      </c>
      <c r="J24">
        <v>351.69</v>
      </c>
      <c r="K24">
        <v>712.81</v>
      </c>
    </row>
    <row r="25" spans="1:11" s="6" customFormat="1" x14ac:dyDescent="0.3">
      <c r="A25" s="6" t="s">
        <v>9</v>
      </c>
      <c r="B25">
        <v>679.87</v>
      </c>
      <c r="C25">
        <v>435.15</v>
      </c>
      <c r="D25">
        <v>363.52</v>
      </c>
      <c r="E25">
        <v>725.59</v>
      </c>
      <c r="F25">
        <v>179.06</v>
      </c>
      <c r="G25">
        <v>503.23</v>
      </c>
      <c r="H25">
        <v>1202.03</v>
      </c>
      <c r="I25">
        <v>1638.8</v>
      </c>
      <c r="J25">
        <v>5461.15</v>
      </c>
      <c r="K25">
        <v>12200.9</v>
      </c>
    </row>
    <row r="26" spans="1:11" s="6" customFormat="1" x14ac:dyDescent="0.3">
      <c r="A26" s="6" t="s">
        <v>10</v>
      </c>
      <c r="B26">
        <v>78.86</v>
      </c>
      <c r="C26">
        <v>87.41</v>
      </c>
      <c r="D26">
        <v>101.19</v>
      </c>
      <c r="E26">
        <v>120.97</v>
      </c>
      <c r="F26">
        <v>121.51</v>
      </c>
      <c r="G26">
        <v>124.73</v>
      </c>
      <c r="H26">
        <v>131.04</v>
      </c>
      <c r="I26">
        <v>142.59</v>
      </c>
      <c r="J26">
        <v>154.85</v>
      </c>
      <c r="K26">
        <v>188.3</v>
      </c>
    </row>
    <row r="27" spans="1:11" s="6" customFormat="1" x14ac:dyDescent="0.3">
      <c r="A27" s="6" t="s">
        <v>11</v>
      </c>
      <c r="B27">
        <v>781.8</v>
      </c>
      <c r="C27">
        <v>666.35</v>
      </c>
      <c r="D27">
        <v>581.07000000000005</v>
      </c>
      <c r="E27">
        <v>381.01</v>
      </c>
      <c r="F27">
        <v>505.93</v>
      </c>
      <c r="G27">
        <v>571.33000000000004</v>
      </c>
      <c r="H27">
        <v>664.13</v>
      </c>
      <c r="I27">
        <v>638.19000000000005</v>
      </c>
      <c r="J27">
        <v>1008.57</v>
      </c>
      <c r="K27">
        <v>1747.51</v>
      </c>
    </row>
    <row r="28" spans="1:11" s="6" customFormat="1" x14ac:dyDescent="0.3">
      <c r="A28" s="6" t="s">
        <v>12</v>
      </c>
      <c r="B28">
        <v>388.52</v>
      </c>
      <c r="C28">
        <v>293.48</v>
      </c>
      <c r="D28">
        <v>629.53</v>
      </c>
      <c r="E28">
        <v>969.55</v>
      </c>
      <c r="F28">
        <v>555.26</v>
      </c>
      <c r="G28">
        <v>1113.25</v>
      </c>
      <c r="H28">
        <v>2210.7199999999998</v>
      </c>
      <c r="I28">
        <v>3796.62</v>
      </c>
      <c r="J28">
        <v>6891.12</v>
      </c>
      <c r="K28">
        <v>12159.48</v>
      </c>
    </row>
    <row r="29" spans="1:11" s="6" customFormat="1" x14ac:dyDescent="0.3">
      <c r="A29" s="6" t="s">
        <v>13</v>
      </c>
      <c r="B29">
        <v>166.88</v>
      </c>
      <c r="C29">
        <v>96.45</v>
      </c>
      <c r="D29">
        <v>142.29</v>
      </c>
      <c r="E29">
        <v>270.66000000000003</v>
      </c>
      <c r="F29">
        <v>186.45</v>
      </c>
      <c r="G29">
        <v>392.55</v>
      </c>
      <c r="H29">
        <v>587.99</v>
      </c>
      <c r="I29">
        <v>952.36</v>
      </c>
      <c r="J29">
        <v>850.89</v>
      </c>
      <c r="K29">
        <v>781.42</v>
      </c>
    </row>
    <row r="30" spans="1:11" s="6" customFormat="1" x14ac:dyDescent="0.3">
      <c r="A30" s="6" t="s">
        <v>14</v>
      </c>
      <c r="B30">
        <v>221.64</v>
      </c>
      <c r="C30">
        <v>197.03</v>
      </c>
      <c r="D30">
        <v>487.24</v>
      </c>
      <c r="E30">
        <v>698.89</v>
      </c>
      <c r="F30">
        <v>368.81</v>
      </c>
      <c r="G30">
        <v>720.7</v>
      </c>
      <c r="H30">
        <v>1622.73</v>
      </c>
      <c r="I30">
        <v>2844.26</v>
      </c>
      <c r="J30">
        <v>6040.23</v>
      </c>
      <c r="K30">
        <v>11378.06</v>
      </c>
    </row>
    <row r="31" spans="1:11" s="6" customFormat="1" x14ac:dyDescent="0.3">
      <c r="A31" s="6" t="s">
        <v>70</v>
      </c>
      <c r="B31">
        <v>43.99</v>
      </c>
      <c r="C31">
        <v>43.99</v>
      </c>
      <c r="D31">
        <v>43.99</v>
      </c>
      <c r="E31">
        <v>109.98</v>
      </c>
      <c r="F31">
        <v>109.98</v>
      </c>
      <c r="G31">
        <v>109.98</v>
      </c>
      <c r="H31">
        <v>136.80000000000001</v>
      </c>
      <c r="I31">
        <v>148.19999999999999</v>
      </c>
      <c r="J31">
        <v>150.05000000000001</v>
      </c>
      <c r="K31">
        <v>168.01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39</v>
      </c>
    </row>
    <row r="41" spans="1:11" s="18" customFormat="1" x14ac:dyDescent="0.3">
      <c r="A41" s="17" t="s">
        <v>38</v>
      </c>
      <c r="B41" s="12">
        <v>45291</v>
      </c>
      <c r="C41" s="12">
        <v>45382</v>
      </c>
      <c r="D41" s="12">
        <v>45473</v>
      </c>
      <c r="E41" s="12">
        <v>45565</v>
      </c>
      <c r="F41" s="12">
        <v>45657</v>
      </c>
      <c r="G41" s="12">
        <v>45747</v>
      </c>
      <c r="H41" s="12">
        <v>45838</v>
      </c>
      <c r="I41" s="12">
        <v>45930</v>
      </c>
      <c r="J41" s="12">
        <v>46022</v>
      </c>
      <c r="K41" s="12">
        <v>46112</v>
      </c>
    </row>
    <row r="42" spans="1:11" s="6" customFormat="1" x14ac:dyDescent="0.3">
      <c r="A42" s="6" t="s">
        <v>6</v>
      </c>
      <c r="B42">
        <v>7960.79</v>
      </c>
      <c r="C42">
        <v>9210.18</v>
      </c>
      <c r="D42">
        <v>7800.75</v>
      </c>
      <c r="E42">
        <v>6586.92</v>
      </c>
      <c r="F42">
        <v>6156.76</v>
      </c>
      <c r="G42">
        <v>6164.55</v>
      </c>
      <c r="H42">
        <v>5875.6</v>
      </c>
      <c r="I42">
        <v>5066.43</v>
      </c>
      <c r="J42">
        <v>5304.07</v>
      </c>
      <c r="K42">
        <v>6810.08</v>
      </c>
    </row>
    <row r="43" spans="1:11" s="6" customFormat="1" x14ac:dyDescent="0.3">
      <c r="A43" s="6" t="s">
        <v>7</v>
      </c>
      <c r="B43">
        <v>7171.4</v>
      </c>
      <c r="C43">
        <v>8274.9699999999993</v>
      </c>
      <c r="D43">
        <v>7090.24</v>
      </c>
      <c r="E43">
        <v>5848.4</v>
      </c>
      <c r="F43">
        <v>5531.64</v>
      </c>
      <c r="G43">
        <v>5645.31</v>
      </c>
      <c r="H43">
        <v>5296.25</v>
      </c>
      <c r="I43">
        <v>4400.3500000000004</v>
      </c>
      <c r="J43">
        <v>4830.09</v>
      </c>
      <c r="K43">
        <v>6635.11</v>
      </c>
    </row>
    <row r="44" spans="1:11" s="6" customFormat="1" x14ac:dyDescent="0.3">
      <c r="A44" s="6" t="s">
        <v>9</v>
      </c>
      <c r="B44">
        <v>378.03</v>
      </c>
      <c r="C44">
        <v>347.93</v>
      </c>
      <c r="D44">
        <v>317.37</v>
      </c>
      <c r="E44">
        <v>353.27</v>
      </c>
      <c r="F44">
        <v>426.26</v>
      </c>
      <c r="G44">
        <v>4364.25</v>
      </c>
      <c r="H44">
        <v>492.38</v>
      </c>
      <c r="I44">
        <v>4271.6499999999996</v>
      </c>
      <c r="J44">
        <v>6517.85</v>
      </c>
      <c r="K44">
        <v>919.02</v>
      </c>
    </row>
    <row r="45" spans="1:11" s="6" customFormat="1" x14ac:dyDescent="0.3">
      <c r="A45" s="6" t="s">
        <v>10</v>
      </c>
      <c r="B45">
        <v>35.51</v>
      </c>
      <c r="C45">
        <v>37.409999999999997</v>
      </c>
      <c r="D45">
        <v>37.57</v>
      </c>
      <c r="E45">
        <v>38.729999999999997</v>
      </c>
      <c r="F45">
        <v>37.56</v>
      </c>
      <c r="G45">
        <v>40.98</v>
      </c>
      <c r="H45">
        <v>41.75</v>
      </c>
      <c r="I45">
        <v>42.71</v>
      </c>
      <c r="J45">
        <v>46.41</v>
      </c>
      <c r="K45">
        <v>57.44</v>
      </c>
    </row>
    <row r="46" spans="1:11" s="6" customFormat="1" x14ac:dyDescent="0.3">
      <c r="A46" s="6" t="s">
        <v>11</v>
      </c>
      <c r="B46">
        <v>167.68</v>
      </c>
      <c r="C46">
        <v>207.82</v>
      </c>
      <c r="D46">
        <v>172.72</v>
      </c>
      <c r="E46">
        <v>206.44</v>
      </c>
      <c r="F46">
        <v>289.83999999999997</v>
      </c>
      <c r="G46">
        <v>339.58</v>
      </c>
      <c r="H46">
        <v>349.63</v>
      </c>
      <c r="I46">
        <v>469.8</v>
      </c>
      <c r="J46">
        <v>519.52</v>
      </c>
      <c r="K46">
        <v>408.55</v>
      </c>
    </row>
    <row r="47" spans="1:11" s="6" customFormat="1" x14ac:dyDescent="0.3">
      <c r="A47" s="6" t="s">
        <v>12</v>
      </c>
      <c r="B47">
        <v>964.23</v>
      </c>
      <c r="C47">
        <v>1037.9100000000001</v>
      </c>
      <c r="D47">
        <v>817.59</v>
      </c>
      <c r="E47">
        <v>846.62</v>
      </c>
      <c r="F47">
        <v>723.98</v>
      </c>
      <c r="G47">
        <v>4502.93</v>
      </c>
      <c r="H47">
        <v>680.35</v>
      </c>
      <c r="I47">
        <v>4425.22</v>
      </c>
      <c r="J47">
        <v>6425.9</v>
      </c>
      <c r="K47">
        <v>628</v>
      </c>
    </row>
    <row r="48" spans="1:11" s="6" customFormat="1" x14ac:dyDescent="0.3">
      <c r="A48" s="6" t="s">
        <v>13</v>
      </c>
      <c r="B48">
        <v>245.77</v>
      </c>
      <c r="C48">
        <v>261.2</v>
      </c>
      <c r="D48">
        <v>215.33</v>
      </c>
      <c r="E48">
        <v>218.63</v>
      </c>
      <c r="F48">
        <v>189.39</v>
      </c>
      <c r="G48">
        <v>227.54</v>
      </c>
      <c r="H48">
        <v>176.31</v>
      </c>
      <c r="I48">
        <v>190.76</v>
      </c>
      <c r="J48">
        <v>129.91</v>
      </c>
      <c r="K48">
        <v>284.44</v>
      </c>
    </row>
    <row r="49" spans="1:11" s="6" customFormat="1" x14ac:dyDescent="0.3">
      <c r="A49" s="6" t="s">
        <v>14</v>
      </c>
      <c r="B49">
        <v>718.46</v>
      </c>
      <c r="C49">
        <v>776.71</v>
      </c>
      <c r="D49">
        <v>602.26</v>
      </c>
      <c r="E49">
        <v>627.99</v>
      </c>
      <c r="F49">
        <v>534.59</v>
      </c>
      <c r="G49">
        <v>4275.3900000000003</v>
      </c>
      <c r="H49">
        <v>504.04</v>
      </c>
      <c r="I49">
        <v>4234.46</v>
      </c>
      <c r="J49">
        <v>6295.99</v>
      </c>
      <c r="K49">
        <v>343.56</v>
      </c>
    </row>
    <row r="50" spans="1:11" x14ac:dyDescent="0.3">
      <c r="A50" s="6" t="s">
        <v>8</v>
      </c>
      <c r="B50">
        <v>789.39</v>
      </c>
      <c r="C50">
        <v>935.21</v>
      </c>
      <c r="D50">
        <v>710.51</v>
      </c>
      <c r="E50">
        <v>738.52</v>
      </c>
      <c r="F50">
        <v>625.12</v>
      </c>
      <c r="G50">
        <v>519.24</v>
      </c>
      <c r="H50">
        <v>579.35</v>
      </c>
      <c r="I50">
        <v>666.08</v>
      </c>
      <c r="J50">
        <v>473.98</v>
      </c>
      <c r="K50">
        <v>174.97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40</v>
      </c>
    </row>
    <row r="56" spans="1:11" s="18" customFormat="1" x14ac:dyDescent="0.3">
      <c r="A56" s="17" t="s">
        <v>38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3">
      <c r="A57" s="6" t="s">
        <v>24</v>
      </c>
      <c r="B57">
        <v>109.98</v>
      </c>
      <c r="C57">
        <v>109.98</v>
      </c>
      <c r="D57">
        <v>109.98</v>
      </c>
      <c r="E57">
        <v>109.98</v>
      </c>
      <c r="F57">
        <v>109.98</v>
      </c>
      <c r="G57">
        <v>109.98</v>
      </c>
      <c r="H57">
        <v>114</v>
      </c>
      <c r="I57">
        <v>114</v>
      </c>
      <c r="J57">
        <v>115.42</v>
      </c>
      <c r="K57">
        <v>129.24</v>
      </c>
    </row>
    <row r="58" spans="1:11" x14ac:dyDescent="0.3">
      <c r="A58" s="6" t="s">
        <v>25</v>
      </c>
      <c r="B58">
        <v>3657.2</v>
      </c>
      <c r="C58">
        <v>3798.42</v>
      </c>
      <c r="D58">
        <v>3138.84</v>
      </c>
      <c r="E58">
        <v>3651.02</v>
      </c>
      <c r="F58">
        <v>4018.01</v>
      </c>
      <c r="G58">
        <v>5130.68</v>
      </c>
      <c r="H58">
        <v>13819.78</v>
      </c>
      <c r="I58">
        <v>16525.54</v>
      </c>
      <c r="J58">
        <v>26583.47</v>
      </c>
      <c r="K58">
        <v>62649.75</v>
      </c>
    </row>
    <row r="59" spans="1:11" x14ac:dyDescent="0.3">
      <c r="A59" s="6" t="s">
        <v>71</v>
      </c>
      <c r="B59">
        <v>7212.83</v>
      </c>
      <c r="C59">
        <v>6682.71</v>
      </c>
      <c r="D59">
        <v>2865.37</v>
      </c>
      <c r="E59">
        <v>3011.63</v>
      </c>
      <c r="F59">
        <v>2918.87</v>
      </c>
      <c r="G59">
        <v>4410.57</v>
      </c>
      <c r="H59">
        <v>3106.05</v>
      </c>
      <c r="I59">
        <v>5893.24</v>
      </c>
      <c r="J59">
        <v>12829.13</v>
      </c>
      <c r="K59">
        <v>11008.1</v>
      </c>
    </row>
    <row r="60" spans="1:11" x14ac:dyDescent="0.3">
      <c r="A60" s="6" t="s">
        <v>72</v>
      </c>
      <c r="B60">
        <v>3678.27</v>
      </c>
      <c r="C60">
        <v>4819.55</v>
      </c>
      <c r="D60">
        <v>8559.2999999999993</v>
      </c>
      <c r="E60">
        <v>7112.94</v>
      </c>
      <c r="F60">
        <v>5945.4</v>
      </c>
      <c r="G60">
        <v>12000.65</v>
      </c>
      <c r="H60">
        <v>23097.439999999999</v>
      </c>
      <c r="I60">
        <v>19647.59</v>
      </c>
      <c r="J60">
        <v>10810.11</v>
      </c>
      <c r="K60">
        <v>8437.9500000000007</v>
      </c>
    </row>
    <row r="61" spans="1:11" s="1" customFormat="1" x14ac:dyDescent="0.3">
      <c r="A61" s="1" t="s">
        <v>26</v>
      </c>
      <c r="B61">
        <v>14658.28</v>
      </c>
      <c r="C61">
        <v>15410.66</v>
      </c>
      <c r="D61">
        <v>14673.49</v>
      </c>
      <c r="E61">
        <v>13885.57</v>
      </c>
      <c r="F61">
        <v>12992.26</v>
      </c>
      <c r="G61">
        <v>21651.88</v>
      </c>
      <c r="H61">
        <v>40137.269999999997</v>
      </c>
      <c r="I61">
        <v>42180.37</v>
      </c>
      <c r="J61">
        <v>50338.13</v>
      </c>
      <c r="K61">
        <v>82225.039999999994</v>
      </c>
    </row>
    <row r="62" spans="1:11" x14ac:dyDescent="0.3">
      <c r="A62" s="6" t="s">
        <v>27</v>
      </c>
      <c r="B62">
        <v>1171.3800000000001</v>
      </c>
      <c r="C62">
        <v>1262.77</v>
      </c>
      <c r="D62">
        <v>1557.67</v>
      </c>
      <c r="E62">
        <v>1528.14</v>
      </c>
      <c r="F62">
        <v>1427.79</v>
      </c>
      <c r="G62">
        <v>1683.41</v>
      </c>
      <c r="H62">
        <v>1667.72</v>
      </c>
      <c r="I62">
        <v>1540.17</v>
      </c>
      <c r="J62">
        <v>1966.3</v>
      </c>
      <c r="K62">
        <v>2452.66</v>
      </c>
    </row>
    <row r="63" spans="1:11" x14ac:dyDescent="0.3">
      <c r="A63" s="6" t="s">
        <v>28</v>
      </c>
      <c r="B63">
        <v>621.6</v>
      </c>
      <c r="C63">
        <v>413.9</v>
      </c>
      <c r="D63">
        <v>211.39</v>
      </c>
      <c r="E63">
        <v>219.61</v>
      </c>
      <c r="F63">
        <v>453.12</v>
      </c>
      <c r="G63">
        <v>511.44</v>
      </c>
      <c r="H63">
        <v>649.28</v>
      </c>
      <c r="I63">
        <v>752.34</v>
      </c>
      <c r="J63">
        <v>590.71</v>
      </c>
      <c r="K63">
        <v>1082.76</v>
      </c>
    </row>
    <row r="64" spans="1:11" x14ac:dyDescent="0.3">
      <c r="A64" s="6" t="s">
        <v>29</v>
      </c>
      <c r="B64">
        <v>3091.2</v>
      </c>
      <c r="C64">
        <v>3008.97</v>
      </c>
      <c r="D64">
        <v>1944.24</v>
      </c>
      <c r="E64">
        <v>2274.91</v>
      </c>
      <c r="F64">
        <v>2465.31</v>
      </c>
      <c r="G64">
        <v>3437.35</v>
      </c>
      <c r="H64">
        <v>9947.99</v>
      </c>
      <c r="I64">
        <v>14070.99</v>
      </c>
      <c r="J64">
        <v>18838.240000000002</v>
      </c>
      <c r="K64">
        <v>28275.19</v>
      </c>
    </row>
    <row r="65" spans="1:11" x14ac:dyDescent="0.3">
      <c r="A65" s="6" t="s">
        <v>73</v>
      </c>
      <c r="B65">
        <v>9774.1</v>
      </c>
      <c r="C65">
        <v>10725.02</v>
      </c>
      <c r="D65">
        <v>10960.19</v>
      </c>
      <c r="E65">
        <v>9862.91</v>
      </c>
      <c r="F65">
        <v>8646.0400000000009</v>
      </c>
      <c r="G65">
        <v>16019.68</v>
      </c>
      <c r="H65">
        <v>27872.28</v>
      </c>
      <c r="I65">
        <v>25816.87</v>
      </c>
      <c r="J65">
        <v>28942.880000000001</v>
      </c>
      <c r="K65">
        <v>50414.43</v>
      </c>
    </row>
    <row r="66" spans="1:11" s="1" customFormat="1" x14ac:dyDescent="0.3">
      <c r="A66" s="1" t="s">
        <v>26</v>
      </c>
      <c r="B66">
        <v>14658.28</v>
      </c>
      <c r="C66">
        <v>15410.66</v>
      </c>
      <c r="D66">
        <v>14673.49</v>
      </c>
      <c r="E66">
        <v>13885.57</v>
      </c>
      <c r="F66">
        <v>12992.26</v>
      </c>
      <c r="G66">
        <v>21651.88</v>
      </c>
      <c r="H66">
        <v>40137.269999999997</v>
      </c>
      <c r="I66">
        <v>42180.37</v>
      </c>
      <c r="J66">
        <v>50338.13</v>
      </c>
      <c r="K66">
        <v>82225.039999999994</v>
      </c>
    </row>
    <row r="67" spans="1:11" s="6" customFormat="1" x14ac:dyDescent="0.3">
      <c r="A67" s="6" t="s">
        <v>78</v>
      </c>
      <c r="B67">
        <v>2923.44</v>
      </c>
      <c r="C67">
        <v>2635.37</v>
      </c>
      <c r="D67">
        <v>5182.05</v>
      </c>
      <c r="E67">
        <v>3846.48</v>
      </c>
      <c r="F67">
        <v>2661.31</v>
      </c>
      <c r="G67">
        <v>3516.19</v>
      </c>
      <c r="H67">
        <v>4688.2700000000004</v>
      </c>
      <c r="I67">
        <v>4220.82</v>
      </c>
      <c r="J67">
        <v>2291.71</v>
      </c>
      <c r="K67">
        <v>4107.5200000000004</v>
      </c>
    </row>
    <row r="68" spans="1:11" x14ac:dyDescent="0.3">
      <c r="A68" s="6" t="s">
        <v>45</v>
      </c>
      <c r="B68">
        <v>594.55999999999995</v>
      </c>
      <c r="C68">
        <v>1294.42</v>
      </c>
      <c r="D68">
        <v>1901.88</v>
      </c>
      <c r="E68">
        <v>1527.47</v>
      </c>
      <c r="F68">
        <v>1099.19</v>
      </c>
      <c r="G68">
        <v>4843.83</v>
      </c>
      <c r="H68">
        <v>4085.46</v>
      </c>
      <c r="I68">
        <v>3006.61</v>
      </c>
      <c r="J68">
        <v>1896.94</v>
      </c>
      <c r="K68">
        <v>2065.9299999999998</v>
      </c>
    </row>
    <row r="69" spans="1:11" x14ac:dyDescent="0.3">
      <c r="A69" s="4" t="s">
        <v>87</v>
      </c>
      <c r="B69">
        <v>364.21</v>
      </c>
      <c r="C69">
        <v>524.66</v>
      </c>
      <c r="D69">
        <v>349.7</v>
      </c>
      <c r="E69">
        <v>783.29</v>
      </c>
      <c r="F69">
        <v>435.93</v>
      </c>
      <c r="G69">
        <v>485.21</v>
      </c>
      <c r="H69">
        <v>1339.86</v>
      </c>
      <c r="I69">
        <v>1014.07</v>
      </c>
      <c r="J69">
        <v>1178.42</v>
      </c>
      <c r="K69">
        <v>3568.68</v>
      </c>
    </row>
    <row r="70" spans="1:11" x14ac:dyDescent="0.3">
      <c r="A70" s="4" t="s">
        <v>74</v>
      </c>
      <c r="B70">
        <v>1099810083</v>
      </c>
      <c r="C70">
        <v>1099810083</v>
      </c>
      <c r="D70">
        <v>1099810083</v>
      </c>
      <c r="E70">
        <v>1099810083</v>
      </c>
      <c r="F70">
        <v>1099810083</v>
      </c>
      <c r="G70">
        <v>1099810083</v>
      </c>
      <c r="H70">
        <v>1140001121</v>
      </c>
      <c r="I70">
        <v>1140001121</v>
      </c>
      <c r="J70">
        <v>1154180729</v>
      </c>
      <c r="K70">
        <v>1292682416</v>
      </c>
    </row>
    <row r="71" spans="1:11" x14ac:dyDescent="0.3">
      <c r="A71" s="4" t="s">
        <v>75</v>
      </c>
    </row>
    <row r="72" spans="1:11" x14ac:dyDescent="0.3">
      <c r="A72" s="4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41</v>
      </c>
    </row>
    <row r="81" spans="1:11" s="18" customFormat="1" x14ac:dyDescent="0.3">
      <c r="A81" s="17" t="s">
        <v>38</v>
      </c>
      <c r="B81" s="12">
        <v>42825</v>
      </c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3">
      <c r="A82" s="6" t="s">
        <v>32</v>
      </c>
      <c r="B82">
        <v>-156.13</v>
      </c>
      <c r="C82">
        <v>986.12</v>
      </c>
      <c r="D82">
        <v>1907.96</v>
      </c>
      <c r="E82">
        <v>601.38</v>
      </c>
      <c r="F82">
        <v>1557.26</v>
      </c>
      <c r="G82">
        <v>2105.0100000000002</v>
      </c>
      <c r="H82">
        <v>11187.32</v>
      </c>
      <c r="I82">
        <v>507.88</v>
      </c>
      <c r="J82">
        <v>-3731.64</v>
      </c>
      <c r="K82">
        <v>-3240.15</v>
      </c>
    </row>
    <row r="83" spans="1:11" s="6" customFormat="1" x14ac:dyDescent="0.3">
      <c r="A83" s="6" t="s">
        <v>33</v>
      </c>
      <c r="B83">
        <v>645.69000000000005</v>
      </c>
      <c r="C83">
        <v>171.64</v>
      </c>
      <c r="D83">
        <v>2396.77</v>
      </c>
      <c r="E83">
        <v>91.27</v>
      </c>
      <c r="F83">
        <v>-1317.55</v>
      </c>
      <c r="G83">
        <v>-3125.86</v>
      </c>
      <c r="H83">
        <v>-16008.75</v>
      </c>
      <c r="I83">
        <v>-2465.88</v>
      </c>
      <c r="J83">
        <v>-6417.87</v>
      </c>
      <c r="K83">
        <v>-15490.93</v>
      </c>
    </row>
    <row r="84" spans="1:11" s="6" customFormat="1" x14ac:dyDescent="0.3">
      <c r="A84" s="6" t="s">
        <v>34</v>
      </c>
      <c r="B84">
        <v>-308.26</v>
      </c>
      <c r="C84">
        <v>-1144.74</v>
      </c>
      <c r="D84">
        <v>-4436.8500000000004</v>
      </c>
      <c r="E84">
        <v>-422.4</v>
      </c>
      <c r="F84">
        <v>-632.09</v>
      </c>
      <c r="G84">
        <v>1065.74</v>
      </c>
      <c r="H84">
        <v>5110.32</v>
      </c>
      <c r="I84">
        <v>2099.5700000000002</v>
      </c>
      <c r="J84">
        <v>9940.9500000000007</v>
      </c>
      <c r="K84">
        <v>21005.78</v>
      </c>
    </row>
    <row r="85" spans="1:11" s="1" customFormat="1" x14ac:dyDescent="0.3">
      <c r="A85" s="6" t="s">
        <v>35</v>
      </c>
      <c r="B85">
        <v>181.3</v>
      </c>
      <c r="C85">
        <v>13.02</v>
      </c>
      <c r="D85">
        <v>-132.12</v>
      </c>
      <c r="E85">
        <v>270.25</v>
      </c>
      <c r="F85">
        <v>-392.38</v>
      </c>
      <c r="G85">
        <v>44.89</v>
      </c>
      <c r="H85">
        <v>288.89</v>
      </c>
      <c r="I85">
        <v>141.57</v>
      </c>
      <c r="J85">
        <v>-208.56</v>
      </c>
      <c r="K85">
        <v>2274.6999999999998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77</v>
      </c>
      <c r="B90">
        <v>70.319999999999993</v>
      </c>
      <c r="C90">
        <v>101.31</v>
      </c>
      <c r="D90">
        <v>142.27000000000001</v>
      </c>
      <c r="E90">
        <v>133.4</v>
      </c>
      <c r="F90">
        <v>999.68</v>
      </c>
      <c r="G90">
        <v>1953.27</v>
      </c>
      <c r="H90">
        <v>1697.04</v>
      </c>
      <c r="I90">
        <v>3099.54</v>
      </c>
      <c r="J90">
        <v>2245.13</v>
      </c>
      <c r="K90">
        <v>1758.8</v>
      </c>
    </row>
    <row r="92" spans="1:11" s="1" customFormat="1" x14ac:dyDescent="0.3">
      <c r="A92" s="1" t="s">
        <v>76</v>
      </c>
    </row>
    <row r="93" spans="1:11" x14ac:dyDescent="0.3">
      <c r="A93" s="4" t="s">
        <v>89</v>
      </c>
      <c r="B93" s="24">
        <v>123.18</v>
      </c>
      <c r="C93" s="24">
        <v>123.18</v>
      </c>
      <c r="D93" s="24">
        <v>123.18</v>
      </c>
      <c r="E93" s="24">
        <v>123.18</v>
      </c>
      <c r="F93" s="24">
        <v>123.18</v>
      </c>
      <c r="G93" s="24">
        <v>123.18</v>
      </c>
      <c r="H93" s="24">
        <v>127.68</v>
      </c>
      <c r="I93" s="24">
        <v>127.68</v>
      </c>
      <c r="J93" s="24">
        <v>129.27000000000001</v>
      </c>
      <c r="K93" s="24">
        <v>129.16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18D5-51DF-41B9-A715-9E73F38683CF}">
  <dimension ref="A1:O11"/>
  <sheetViews>
    <sheetView zoomScale="151" workbookViewId="0">
      <selection activeCell="L10" sqref="L10"/>
    </sheetView>
  </sheetViews>
  <sheetFormatPr defaultRowHeight="14.4" x14ac:dyDescent="0.3"/>
  <cols>
    <col min="1" max="1" width="17.44140625" bestFit="1" customWidth="1"/>
    <col min="13" max="13" width="13.109375" bestFit="1" customWidth="1"/>
  </cols>
  <sheetData>
    <row r="1" spans="1:15" ht="15.6" x14ac:dyDescent="0.3">
      <c r="A1" s="30" t="s">
        <v>93</v>
      </c>
      <c r="B1" s="31">
        <v>45078</v>
      </c>
      <c r="C1" s="31">
        <v>45170</v>
      </c>
      <c r="D1" s="31">
        <v>45261</v>
      </c>
      <c r="E1" s="31">
        <v>45352</v>
      </c>
      <c r="F1" s="31">
        <v>45444</v>
      </c>
      <c r="G1" s="31">
        <v>45536</v>
      </c>
      <c r="H1" s="31">
        <v>45627</v>
      </c>
      <c r="I1" s="31">
        <v>45717</v>
      </c>
      <c r="J1" s="31">
        <v>45809</v>
      </c>
      <c r="K1" s="31">
        <v>45901</v>
      </c>
      <c r="L1" s="31">
        <v>45992</v>
      </c>
      <c r="M1" s="31">
        <v>46082</v>
      </c>
    </row>
    <row r="2" spans="1:15" x14ac:dyDescent="0.3">
      <c r="A2" t="s">
        <v>94</v>
      </c>
      <c r="B2" s="25">
        <v>0.67649999999999999</v>
      </c>
      <c r="C2" s="25">
        <v>0.72609999999999997</v>
      </c>
      <c r="D2" s="25" t="s">
        <v>98</v>
      </c>
      <c r="E2" s="25">
        <v>0.72609999999999997</v>
      </c>
      <c r="F2" s="25">
        <v>0.74719999999999998</v>
      </c>
      <c r="G2" s="25">
        <v>0.74890000000000001</v>
      </c>
      <c r="H2" s="25">
        <v>0.73970000000000002</v>
      </c>
      <c r="I2" s="25">
        <v>0.73970000000000002</v>
      </c>
      <c r="J2" s="25">
        <v>0.73970000000000002</v>
      </c>
      <c r="K2" s="25">
        <v>0.73970000000000002</v>
      </c>
      <c r="L2" s="25">
        <v>0.73970000000000002</v>
      </c>
      <c r="M2" s="25">
        <v>0.74670000000000003</v>
      </c>
    </row>
    <row r="3" spans="1:15" x14ac:dyDescent="0.3">
      <c r="A3" t="s">
        <v>95</v>
      </c>
      <c r="B3" s="25">
        <v>0.19339999999999999</v>
      </c>
      <c r="C3" s="25">
        <v>0.1452</v>
      </c>
      <c r="D3" s="25">
        <v>0.14649999999999999</v>
      </c>
      <c r="E3" s="25">
        <v>0.14410000000000001</v>
      </c>
      <c r="F3" s="25">
        <v>0.1173</v>
      </c>
      <c r="G3" s="25">
        <v>0.11310000000000001</v>
      </c>
      <c r="H3" s="25">
        <v>0.1172</v>
      </c>
      <c r="I3" s="25">
        <v>0.1171</v>
      </c>
      <c r="J3" s="25">
        <v>0.11550000000000001</v>
      </c>
      <c r="K3" s="25">
        <v>0.1172</v>
      </c>
      <c r="L3" s="25">
        <v>0.1164</v>
      </c>
      <c r="M3" s="25">
        <v>0.108</v>
      </c>
    </row>
    <row r="4" spans="1:15" x14ac:dyDescent="0.3">
      <c r="A4" t="s">
        <v>96</v>
      </c>
      <c r="B4" s="25">
        <v>5.4600000000000003E-2</v>
      </c>
      <c r="C4" s="25">
        <v>5.6500000000000002E-2</v>
      </c>
      <c r="D4" s="25">
        <v>5.4399999999999997E-2</v>
      </c>
      <c r="E4" s="25">
        <v>5.7700000000000001E-2</v>
      </c>
      <c r="F4" s="25">
        <v>6.0199999999999997E-2</v>
      </c>
      <c r="G4" s="25">
        <v>6.4600000000000005E-2</v>
      </c>
      <c r="H4" s="25">
        <v>6.6100000000000006E-2</v>
      </c>
      <c r="I4" s="25">
        <v>6.8599999999999994E-2</v>
      </c>
      <c r="J4" s="25">
        <v>7.0400000000000004E-2</v>
      </c>
      <c r="K4" s="25">
        <v>6.8400000000000002E-2</v>
      </c>
      <c r="L4" s="25">
        <v>6.7100000000000007E-2</v>
      </c>
      <c r="M4" s="25">
        <v>6.7000000000000004E-2</v>
      </c>
    </row>
    <row r="5" spans="1:15" x14ac:dyDescent="0.3">
      <c r="A5" t="s">
        <v>97</v>
      </c>
      <c r="B5" s="25">
        <v>7.5399999999999995E-2</v>
      </c>
      <c r="C5" s="25">
        <v>7.2300000000000003E-2</v>
      </c>
      <c r="D5" s="25">
        <v>7.2999999999999995E-2</v>
      </c>
      <c r="E5" s="25">
        <v>7.22E-2</v>
      </c>
      <c r="F5" s="25">
        <v>7.5300000000000006E-2</v>
      </c>
      <c r="G5" s="25">
        <v>7.3599999999999999E-2</v>
      </c>
      <c r="H5" s="25">
        <v>7.6799999999999993E-2</v>
      </c>
      <c r="I5" s="25">
        <v>7.4499999999999997E-2</v>
      </c>
      <c r="J5" s="25">
        <v>7.4399999999999994E-2</v>
      </c>
      <c r="K5" s="25">
        <v>7.4700000000000003E-2</v>
      </c>
      <c r="L5" s="25">
        <v>7.6600000000000001E-2</v>
      </c>
      <c r="M5" s="25">
        <v>7.8399999999999997E-2</v>
      </c>
    </row>
    <row r="6" spans="1:15" x14ac:dyDescent="0.3">
      <c r="A6" t="s">
        <v>99</v>
      </c>
      <c r="B6" s="27">
        <v>661255</v>
      </c>
      <c r="C6" s="28">
        <v>566232</v>
      </c>
      <c r="D6" s="28">
        <v>561309</v>
      </c>
      <c r="E6" s="28">
        <v>537342</v>
      </c>
      <c r="F6" s="28">
        <v>643975</v>
      </c>
      <c r="G6" s="28">
        <v>584928</v>
      </c>
      <c r="H6" s="28">
        <v>667210</v>
      </c>
      <c r="I6" s="28">
        <v>655946</v>
      </c>
      <c r="J6" s="28">
        <v>621739</v>
      </c>
      <c r="K6" s="28">
        <v>618413</v>
      </c>
      <c r="L6" s="28">
        <v>642614</v>
      </c>
      <c r="M6" s="28">
        <v>664882</v>
      </c>
    </row>
    <row r="7" spans="1:15" x14ac:dyDescent="0.3">
      <c r="B7" s="25" t="s">
        <v>100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6"/>
    </row>
    <row r="8" spans="1:15" x14ac:dyDescent="0.3">
      <c r="B8" s="25"/>
      <c r="C8" s="25"/>
      <c r="D8" s="35"/>
      <c r="E8" s="35"/>
      <c r="F8" s="35"/>
      <c r="G8" s="35"/>
      <c r="H8" s="35"/>
      <c r="I8" s="35"/>
      <c r="J8" s="35"/>
      <c r="K8" s="35"/>
      <c r="L8" s="35"/>
      <c r="M8" s="35"/>
      <c r="N8" s="36"/>
      <c r="O8" s="36"/>
    </row>
    <row r="9" spans="1:15" x14ac:dyDescent="0.3">
      <c r="B9" s="25"/>
      <c r="C9" s="25"/>
      <c r="D9" s="35"/>
      <c r="E9" s="35"/>
      <c r="F9" s="35"/>
      <c r="G9" s="35"/>
      <c r="H9" s="35"/>
      <c r="I9" s="35"/>
      <c r="J9" s="35"/>
      <c r="K9" s="35"/>
      <c r="L9" s="35"/>
      <c r="M9" s="35"/>
      <c r="N9" s="36"/>
      <c r="O9" s="36"/>
    </row>
    <row r="10" spans="1:15" x14ac:dyDescent="0.3">
      <c r="B10" s="25"/>
      <c r="C10" s="2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6"/>
      <c r="O10" s="36"/>
    </row>
    <row r="11" spans="1:15" x14ac:dyDescent="0.3"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C81BE-929F-410A-80E5-015294BB340F}">
  <dimension ref="A1:J4"/>
  <sheetViews>
    <sheetView tabSelected="1" zoomScale="168" workbookViewId="0">
      <selection activeCell="E5" sqref="E5"/>
    </sheetView>
  </sheetViews>
  <sheetFormatPr defaultRowHeight="14.4" x14ac:dyDescent="0.3"/>
  <cols>
    <col min="2" max="2" width="14.88671875" bestFit="1" customWidth="1"/>
    <col min="3" max="3" width="7.6640625" bestFit="1" customWidth="1"/>
    <col min="4" max="4" width="7" bestFit="1" customWidth="1"/>
    <col min="5" max="5" width="14.77734375" bestFit="1" customWidth="1"/>
    <col min="6" max="6" width="9.6640625" bestFit="1" customWidth="1"/>
    <col min="7" max="7" width="16" bestFit="1" customWidth="1"/>
    <col min="8" max="8" width="15.21875" bestFit="1" customWidth="1"/>
    <col min="9" max="9" width="15.44140625" bestFit="1" customWidth="1"/>
    <col min="10" max="10" width="8.33203125" bestFit="1" customWidth="1"/>
  </cols>
  <sheetData>
    <row r="1" spans="1:10" ht="15.6" x14ac:dyDescent="0.3">
      <c r="A1" s="32" t="s">
        <v>106</v>
      </c>
      <c r="B1" s="32" t="s">
        <v>101</v>
      </c>
      <c r="C1" s="32" t="s">
        <v>102</v>
      </c>
      <c r="D1" s="32" t="s">
        <v>107</v>
      </c>
      <c r="E1" s="32" t="s">
        <v>109</v>
      </c>
      <c r="F1" s="32" t="s">
        <v>108</v>
      </c>
      <c r="G1" s="32" t="s">
        <v>110</v>
      </c>
      <c r="H1" s="32" t="s">
        <v>111</v>
      </c>
      <c r="I1" s="32" t="s">
        <v>112</v>
      </c>
      <c r="J1" s="32" t="s">
        <v>113</v>
      </c>
    </row>
    <row r="2" spans="1:10" x14ac:dyDescent="0.3">
      <c r="A2">
        <v>1</v>
      </c>
      <c r="B2" t="s">
        <v>103</v>
      </c>
      <c r="C2" s="29">
        <v>2942.5</v>
      </c>
      <c r="D2" s="29">
        <v>332.65</v>
      </c>
      <c r="E2" s="29">
        <v>382968.26</v>
      </c>
      <c r="F2" s="29">
        <v>0.04</v>
      </c>
      <c r="G2" s="29">
        <v>-42.83</v>
      </c>
      <c r="H2" s="29">
        <v>6810.08</v>
      </c>
      <c r="I2" s="29">
        <v>10.47</v>
      </c>
      <c r="J2" s="29">
        <v>7.59</v>
      </c>
    </row>
    <row r="3" spans="1:10" x14ac:dyDescent="0.3">
      <c r="A3">
        <v>2</v>
      </c>
      <c r="B3" t="s">
        <v>104</v>
      </c>
      <c r="C3" s="29">
        <v>10.84</v>
      </c>
      <c r="D3" s="29">
        <v>66.16</v>
      </c>
      <c r="E3" s="29">
        <v>393.63</v>
      </c>
      <c r="F3" s="29">
        <v>0</v>
      </c>
      <c r="G3" s="29">
        <v>465.91</v>
      </c>
      <c r="H3" s="29">
        <v>27.82</v>
      </c>
      <c r="I3" s="29">
        <v>100.14</v>
      </c>
      <c r="J3" s="29">
        <v>7.05</v>
      </c>
    </row>
    <row r="4" spans="1:10" x14ac:dyDescent="0.3">
      <c r="A4">
        <v>3</v>
      </c>
      <c r="B4" t="s">
        <v>105</v>
      </c>
      <c r="C4" s="29">
        <v>37.5</v>
      </c>
      <c r="D4" s="29" t="s">
        <v>114</v>
      </c>
      <c r="E4" s="29">
        <v>12.73</v>
      </c>
      <c r="F4" s="29">
        <v>0</v>
      </c>
      <c r="G4" s="29">
        <v>-51.72</v>
      </c>
      <c r="H4" s="29">
        <v>0.11</v>
      </c>
      <c r="I4" s="29">
        <v>57.14</v>
      </c>
      <c r="J4" s="29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Profit &amp; Loss</vt:lpstr>
      <vt:lpstr>Quarters</vt:lpstr>
      <vt:lpstr>Balance Sheet</vt:lpstr>
      <vt:lpstr>Cash Flow</vt:lpstr>
      <vt:lpstr>Customization</vt:lpstr>
      <vt:lpstr>Data Sheet</vt:lpstr>
      <vt:lpstr>Shareholding Pattern</vt:lpstr>
      <vt:lpstr>Peer comparison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RADHA TELI</cp:lastModifiedBy>
  <cp:lastPrinted>2012-12-06T18:14:13Z</cp:lastPrinted>
  <dcterms:created xsi:type="dcterms:W3CDTF">2012-08-17T09:55:37Z</dcterms:created>
  <dcterms:modified xsi:type="dcterms:W3CDTF">2026-06-17T05:52:34Z</dcterms:modified>
</cp:coreProperties>
</file>